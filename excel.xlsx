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(excl COCLMX)" sheetId="1" r:id="rId4"/>
    <sheet state="visible" name="ID" sheetId="2" r:id="rId5"/>
    <sheet state="visible" name="PH" sheetId="3" r:id="rId6"/>
    <sheet state="visible" name="MY" sheetId="4" r:id="rId7"/>
    <sheet state="visible" name="TH" sheetId="5" r:id="rId8"/>
    <sheet state="visible" name="SG" sheetId="6" r:id="rId9"/>
    <sheet state="visible" name="TW" sheetId="7" r:id="rId10"/>
    <sheet state="visible" name="BR" sheetId="8" r:id="rId11"/>
    <sheet state="visible" name="VN" sheetId="9" r:id="rId12"/>
    <sheet state="visible" name="CO" sheetId="10" r:id="rId13"/>
    <sheet state="visible" name="CL" sheetId="11" r:id="rId14"/>
    <sheet state="visible" name="MX" sheetId="12" r:id="rId15"/>
    <sheet state="visible" name="Sheet8" sheetId="13" r:id="rId16"/>
  </sheets>
  <definedNames>
    <definedName hidden="1" localSheetId="0" name="Z_124CE5CA_2100_48FD_B906_3BC23A8F010B_.wvu.FilterData">'Global(excl COCLMX)'!$B$5:$AK$13</definedName>
    <definedName hidden="1" localSheetId="1" name="Z_124CE5CA_2100_48FD_B906_3BC23A8F010B_.wvu.FilterData">ID!$B$5:$AK$13</definedName>
    <definedName hidden="1" localSheetId="2" name="Z_124CE5CA_2100_48FD_B906_3BC23A8F010B_.wvu.FilterData">PH!$B$5:$AK$13</definedName>
    <definedName hidden="1" localSheetId="3" name="Z_124CE5CA_2100_48FD_B906_3BC23A8F010B_.wvu.FilterData">MY!$B$5:$AK$13</definedName>
    <definedName hidden="1" localSheetId="4" name="Z_124CE5CA_2100_48FD_B906_3BC23A8F010B_.wvu.FilterData">TH!$B$5:$AK$13</definedName>
    <definedName hidden="1" localSheetId="5" name="Z_124CE5CA_2100_48FD_B906_3BC23A8F010B_.wvu.FilterData">SG!$B$5:$AK$13</definedName>
    <definedName hidden="1" localSheetId="6" name="Z_124CE5CA_2100_48FD_B906_3BC23A8F010B_.wvu.FilterData">TW!$B$5:$AK$12</definedName>
    <definedName hidden="1" localSheetId="7" name="Z_124CE5CA_2100_48FD_B906_3BC23A8F010B_.wvu.FilterData">BR!$B$5:$AK$13</definedName>
    <definedName hidden="1" localSheetId="8" name="Z_124CE5CA_2100_48FD_B906_3BC23A8F010B_.wvu.FilterData">VN!$B$5:$AK$13</definedName>
    <definedName hidden="1" localSheetId="9" name="Z_124CE5CA_2100_48FD_B906_3BC23A8F010B_.wvu.FilterData">CO!$B$5:$AK$12</definedName>
    <definedName hidden="1" localSheetId="10" name="Z_124CE5CA_2100_48FD_B906_3BC23A8F010B_.wvu.FilterData">CL!$B$5:$AK$12</definedName>
    <definedName hidden="1" localSheetId="11" name="Z_124CE5CA_2100_48FD_B906_3BC23A8F010B_.wvu.FilterData">MX!$B$5:$AK$12</definedName>
  </definedNames>
  <calcPr/>
  <customWorkbookViews>
    <customWorkbookView activeSheetId="0" maximized="1" windowHeight="0" windowWidth="0" guid="{124CE5CA-2100-48FD-B906-3BC23A8F010B}" name="Filter 1"/>
  </customWorkbookViews>
</workbook>
</file>

<file path=xl/sharedStrings.xml><?xml version="1.0" encoding="utf-8"?>
<sst xmlns="http://schemas.openxmlformats.org/spreadsheetml/2006/main" count="1578" uniqueCount="93">
  <si>
    <t>Region:Global</t>
  </si>
  <si>
    <t>Updated Date</t>
  </si>
  <si>
    <t>S&amp;R&amp;A Monthly Metrics</t>
  </si>
  <si>
    <t>MoM %</t>
  </si>
  <si>
    <t>UNIT</t>
  </si>
  <si>
    <t>Platform DAU</t>
  </si>
  <si>
    <t>#</t>
  </si>
  <si>
    <t>Avg No. of Modules in HP Layout</t>
  </si>
  <si>
    <t>Buyer</t>
  </si>
  <si>
    <t xml:space="preserve">    Buyer%</t>
  </si>
  <si>
    <t>%</t>
  </si>
  <si>
    <t>Order</t>
  </si>
  <si>
    <t xml:space="preserve">    Order/U</t>
  </si>
  <si>
    <t>HP UV</t>
  </si>
  <si>
    <t>GMV</t>
  </si>
  <si>
    <t>Ads Gross Rev</t>
  </si>
  <si>
    <t>Gross Take Rate</t>
  </si>
  <si>
    <t>Ads Direct ROI</t>
  </si>
  <si>
    <t>Ads Net Rev</t>
  </si>
  <si>
    <t>Net Take Rate</t>
  </si>
  <si>
    <t>Ads Net Rev (excl 1p/sip)</t>
  </si>
  <si>
    <t>Net Take Rate (excl 1p/sip)</t>
  </si>
  <si>
    <t>Commission Fee</t>
  </si>
  <si>
    <t>USD</t>
  </si>
  <si>
    <t>Commission Rate</t>
  </si>
  <si>
    <t xml:space="preserve">Total Rebate </t>
  </si>
  <si>
    <t xml:space="preserve">Order% by Channel (incl. ads &amp; non-item cards) </t>
  </si>
  <si>
    <t>Total</t>
  </si>
  <si>
    <t xml:space="preserve">    Global Search</t>
  </si>
  <si>
    <t xml:space="preserve">    Daily Discover</t>
  </si>
  <si>
    <t xml:space="preserve">    You May Also Like</t>
  </si>
  <si>
    <t xml:space="preserve">    Post Purchase</t>
  </si>
  <si>
    <t xml:space="preserve">    Private Domain</t>
  </si>
  <si>
    <t xml:space="preserve">    Live Streaming</t>
  </si>
  <si>
    <t xml:space="preserve">    Video</t>
  </si>
  <si>
    <t xml:space="preserve">    Others</t>
  </si>
  <si>
    <t xml:space="preserve">Rev% by Channel  (incl. ads &amp; non-item cards) </t>
  </si>
  <si>
    <t xml:space="preserve">Total </t>
  </si>
  <si>
    <t xml:space="preserve">    Search</t>
  </si>
  <si>
    <t xml:space="preserve">    RCMD</t>
  </si>
  <si>
    <t xml:space="preserve">    Game</t>
  </si>
  <si>
    <t xml:space="preserve">    Brand</t>
  </si>
  <si>
    <t xml:space="preserve">    Undefined</t>
  </si>
  <si>
    <t>Rev% by Seller Type</t>
  </si>
  <si>
    <t>CB Rev%</t>
  </si>
  <si>
    <t xml:space="preserve">    Lovito(1p)%</t>
  </si>
  <si>
    <t xml:space="preserve">    SCS(1p)%</t>
  </si>
  <si>
    <t xml:space="preserve">    Others(3p)%</t>
  </si>
  <si>
    <t xml:space="preserve">    unknow%</t>
  </si>
  <si>
    <t>Local Rev%</t>
  </si>
  <si>
    <t>seasonal</t>
  </si>
  <si>
    <t>Region:ID</t>
  </si>
  <si>
    <t>rebate per order</t>
  </si>
  <si>
    <t>Region:PH</t>
  </si>
  <si>
    <t>rebate %</t>
  </si>
  <si>
    <t>Order% by Channel (incl. ads &amp; non-item cards)</t>
  </si>
  <si>
    <t>Rev% by Channel  (incl. ads &amp; non-item cards)</t>
  </si>
  <si>
    <t>PH</t>
  </si>
  <si>
    <t>MOM</t>
  </si>
  <si>
    <t>CB Rev</t>
  </si>
  <si>
    <t xml:space="preserve">    Lovito(1p)</t>
  </si>
  <si>
    <t xml:space="preserve">    SCS(1p)</t>
  </si>
  <si>
    <t xml:space="preserve">    Others(3p)</t>
  </si>
  <si>
    <t xml:space="preserve">    unknow</t>
  </si>
  <si>
    <t>Local Rev</t>
  </si>
  <si>
    <t>Region:MY</t>
  </si>
  <si>
    <t>Region:TH</t>
  </si>
  <si>
    <t>Region:SG</t>
  </si>
  <si>
    <t>Region:TW</t>
  </si>
  <si>
    <t>Region: BR</t>
  </si>
  <si>
    <t>BR</t>
  </si>
  <si>
    <t>Region:VN</t>
  </si>
  <si>
    <t>Region:CO</t>
  </si>
  <si>
    <t>MTD Average Daily</t>
  </si>
  <si>
    <t>M-1 Average Daily</t>
  </si>
  <si>
    <t>Region:CL</t>
  </si>
  <si>
    <t>Region:MX</t>
  </si>
  <si>
    <t>Total Chinese Sellers</t>
  </si>
  <si>
    <t>Mall Shops</t>
  </si>
  <si>
    <t>Mobile &amp; Gadgets</t>
  </si>
  <si>
    <t>Beauty</t>
  </si>
  <si>
    <t>Fashion Accessories</t>
  </si>
  <si>
    <t>Women Bags</t>
  </si>
  <si>
    <t>Home &amp; Living</t>
  </si>
  <si>
    <t>Others</t>
  </si>
  <si>
    <t>Non-Mall shops</t>
  </si>
  <si>
    <t>Ado % of CN Sellers</t>
  </si>
  <si>
    <t>Women Clothes</t>
  </si>
  <si>
    <t>Baby &amp; Kids Fashion</t>
  </si>
  <si>
    <t>Men Clothes</t>
  </si>
  <si>
    <t>Motorcycles</t>
  </si>
  <si>
    <t>Food &amp; Beverages</t>
  </si>
  <si>
    <t>Muslim Fashion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</si>
</sst>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"/>
    <numFmt numFmtId="165" formatCode="M/d/yyyy"/>
    <numFmt numFmtId="166" formatCode="yyyy-mm"/>
    <numFmt numFmtId="167" formatCode="yyyy-m"/>
    <numFmt numFmtId="168" formatCode="#,##0.000"/>
    <numFmt numFmtId="169" formatCode="#,##0.00000"/>
    <numFmt numFmtId="170" formatCode="0.000%"/>
    <numFmt numFmtId="171" formatCode="yyyy-mm-dd"/>
    <numFmt numFmtId="172" formatCode="yyyy\-mm\-dd"/>
    <numFmt numFmtId="173" formatCode="0.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000000"/>
      <name val="Calibri"/>
    </font>
    <font>
      <b/>
      <color rgb="FFFF0000"/>
      <name val="Arial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b/>
      <color theme="1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b/>
      <sz val="8.0"/>
      <color rgb="FFFF0000"/>
      <name val="Arial"/>
    </font>
    <font>
      <sz val="8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165" xfId="0" applyFont="1" applyNumberFormat="1"/>
    <xf borderId="0" fillId="0" fontId="1" numFmtId="0" xfId="0" applyFont="1"/>
    <xf borderId="0" fillId="0" fontId="4" numFmtId="0" xfId="0" applyAlignment="1" applyFont="1">
      <alignment horizontal="center" shrinkToFit="0" vertical="bottom" wrapText="1"/>
    </xf>
    <xf borderId="0" fillId="2" fontId="4" numFmtId="166" xfId="0" applyAlignment="1" applyFill="1" applyFont="1" applyNumberFormat="1">
      <alignment horizontal="right" readingOrder="0" shrinkToFit="0" vertical="bottom" wrapText="1"/>
    </xf>
    <xf borderId="0" fillId="2" fontId="4" numFmtId="164" xfId="0" applyAlignment="1" applyFont="1" applyNumberFormat="1">
      <alignment horizontal="right" readingOrder="0" shrinkToFit="0" vertical="bottom" wrapText="1"/>
    </xf>
    <xf borderId="0" fillId="2" fontId="4" numFmtId="166" xfId="0" applyAlignment="1" applyFont="1" applyNumberFormat="1">
      <alignment horizontal="center" readingOrder="0" vertical="bottom"/>
    </xf>
    <xf borderId="0" fillId="2" fontId="4" numFmtId="167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1" fillId="3" fontId="5" numFmtId="0" xfId="0" applyAlignment="1" applyBorder="1" applyFill="1" applyFont="1">
      <alignment readingOrder="0" vertical="bottom"/>
    </xf>
    <xf borderId="1" fillId="3" fontId="5" numFmtId="0" xfId="0" applyAlignment="1" applyBorder="1" applyFont="1">
      <alignment horizontal="center" vertical="bottom"/>
    </xf>
    <xf borderId="1" fillId="3" fontId="6" numFmtId="0" xfId="0" applyAlignment="1" applyBorder="1" applyFont="1">
      <alignment horizontal="right" vertical="bottom"/>
    </xf>
    <xf borderId="1" fillId="3" fontId="6" numFmtId="164" xfId="0" applyAlignment="1" applyBorder="1" applyFont="1" applyNumberFormat="1">
      <alignment horizontal="right" vertical="bottom"/>
    </xf>
    <xf borderId="1" fillId="3" fontId="6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0" fillId="0" fontId="7" numFmtId="3" xfId="0" applyAlignment="1" applyFont="1" applyNumberFormat="1">
      <alignment horizontal="right" vertical="bottom"/>
    </xf>
    <xf borderId="1" fillId="0" fontId="7" numFmtId="3" xfId="0" applyAlignment="1" applyBorder="1" applyFont="1" applyNumberFormat="1">
      <alignment horizontal="right" readingOrder="0" vertical="bottom"/>
    </xf>
    <xf borderId="1" fillId="0" fontId="7" numFmtId="164" xfId="0" applyAlignment="1" applyBorder="1" applyFont="1" applyNumberFormat="1">
      <alignment horizontal="right" vertical="bottom"/>
    </xf>
    <xf borderId="0" fillId="0" fontId="7" numFmtId="3" xfId="0" applyAlignment="1" applyFont="1" applyNumberFormat="1">
      <alignment horizontal="right" readingOrder="0" vertical="bottom"/>
    </xf>
    <xf borderId="0" fillId="0" fontId="1" numFmtId="9" xfId="0" applyAlignment="1" applyFont="1" applyNumberFormat="1">
      <alignment readingOrder="0"/>
    </xf>
    <xf borderId="0" fillId="0" fontId="1" numFmtId="9" xfId="0" applyFont="1" applyNumberFormat="1"/>
    <xf borderId="1" fillId="0" fontId="7" numFmtId="4" xfId="0" applyAlignment="1" applyBorder="1" applyFont="1" applyNumberFormat="1">
      <alignment horizontal="right" readingOrder="0" vertical="bottom"/>
    </xf>
    <xf borderId="0" fillId="0" fontId="7" numFmtId="4" xfId="0" applyAlignment="1" applyFont="1" applyNumberFormat="1">
      <alignment horizontal="right" readingOrder="0" vertical="bottom"/>
    </xf>
    <xf borderId="1" fillId="0" fontId="7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7" numFmtId="10" xfId="0" applyAlignment="1" applyBorder="1" applyFont="1" applyNumberFormat="1">
      <alignment horizontal="right" readingOrder="0" vertical="bottom"/>
    </xf>
    <xf borderId="1" fillId="0" fontId="7" numFmtId="168" xfId="0" applyAlignment="1" applyBorder="1" applyFont="1" applyNumberFormat="1">
      <alignment horizontal="right" readingOrder="0" vertical="bottom"/>
    </xf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4" numFmtId="10" xfId="0" applyAlignment="1" applyFont="1" applyNumberFormat="1">
      <alignment readingOrder="0" vertical="bottom"/>
    </xf>
    <xf borderId="0" fillId="0" fontId="7" numFmtId="10" xfId="0" applyAlignment="1" applyFont="1" applyNumberFormat="1">
      <alignment readingOrder="0" vertical="bottom"/>
    </xf>
    <xf borderId="1" fillId="0" fontId="4" numFmtId="10" xfId="0" applyAlignment="1" applyBorder="1" applyFont="1" applyNumberFormat="1">
      <alignment readingOrder="0" vertical="bottom"/>
    </xf>
    <xf borderId="1" fillId="0" fontId="4" numFmtId="10" xfId="0" applyAlignment="1" applyBorder="1" applyFont="1" applyNumberFormat="1">
      <alignment horizontal="center" readingOrder="0" vertical="bottom"/>
    </xf>
    <xf borderId="0" fillId="0" fontId="7" numFmtId="10" xfId="0" applyAlignment="1" applyFont="1" applyNumberFormat="1">
      <alignment horizontal="right" vertical="bottom"/>
    </xf>
    <xf borderId="1" fillId="0" fontId="7" numFmtId="10" xfId="0" applyAlignment="1" applyBorder="1" applyFont="1" applyNumberFormat="1">
      <alignment horizontal="right" vertical="bottom"/>
    </xf>
    <xf borderId="0" fillId="0" fontId="7" numFmtId="10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2" xfId="0" applyFont="1" applyNumberFormat="1"/>
    <xf borderId="1" fillId="0" fontId="7" numFmtId="164" xfId="0" applyAlignment="1" applyBorder="1" applyFont="1" applyNumberFormat="1">
      <alignment horizontal="right" readingOrder="0" vertical="bottom"/>
    </xf>
    <xf borderId="1" fillId="0" fontId="8" numFmtId="164" xfId="0" applyAlignment="1" applyBorder="1" applyFont="1" applyNumberFormat="1">
      <alignment horizontal="right" vertical="bottom"/>
    </xf>
    <xf borderId="0" fillId="0" fontId="1" numFmtId="10" xfId="0" applyFont="1" applyNumberFormat="1"/>
    <xf borderId="1" fillId="0" fontId="7" numFmtId="11" xfId="0" applyAlignment="1" applyBorder="1" applyFont="1" applyNumberFormat="1">
      <alignment horizontal="right" readingOrder="0" vertical="bottom"/>
    </xf>
    <xf borderId="0" fillId="0" fontId="1" numFmtId="11" xfId="0" applyAlignment="1" applyFont="1" applyNumberFormat="1">
      <alignment readingOrder="0"/>
    </xf>
    <xf borderId="2" fillId="0" fontId="7" numFmtId="10" xfId="0" applyAlignment="1" applyBorder="1" applyFont="1" applyNumberFormat="1">
      <alignment vertical="bottom"/>
    </xf>
    <xf borderId="0" fillId="0" fontId="1" numFmtId="3" xfId="0" applyFont="1" applyNumberFormat="1"/>
    <xf borderId="0" fillId="0" fontId="1" numFmtId="0" xfId="0" applyAlignment="1" applyFont="1">
      <alignment horizontal="right" readingOrder="0"/>
    </xf>
    <xf borderId="0" fillId="0" fontId="1" numFmtId="170" xfId="0" applyAlignment="1" applyFont="1" applyNumberFormat="1">
      <alignment readingOrder="0"/>
    </xf>
    <xf borderId="0" fillId="0" fontId="1" numFmtId="170" xfId="0" applyFont="1" applyNumberFormat="1"/>
    <xf borderId="0" fillId="0" fontId="1" numFmtId="1" xfId="0" applyFont="1" applyNumberFormat="1"/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2" fontId="4" numFmtId="171" xfId="0" applyAlignment="1" applyFont="1" applyNumberFormat="1">
      <alignment horizontal="center" readingOrder="0" vertical="bottom"/>
    </xf>
    <xf borderId="0" fillId="2" fontId="4" numFmtId="172" xfId="0" applyAlignment="1" applyFont="1" applyNumberFormat="1">
      <alignment horizontal="center" readingOrder="0" vertical="bottom"/>
    </xf>
    <xf borderId="0" fillId="2" fontId="9" numFmtId="171" xfId="0" applyAlignment="1" applyFont="1" applyNumberFormat="1">
      <alignment horizontal="center" readingOrder="0" vertical="bottom"/>
    </xf>
    <xf borderId="0" fillId="2" fontId="9" numFmtId="166" xfId="0" applyAlignment="1" applyFont="1" applyNumberFormat="1">
      <alignment horizontal="center" readingOrder="0" vertical="bottom"/>
    </xf>
    <xf borderId="1" fillId="3" fontId="6" numFmtId="0" xfId="0" applyAlignment="1" applyBorder="1" applyFont="1">
      <alignment readingOrder="0" vertical="bottom"/>
    </xf>
    <xf borderId="0" fillId="0" fontId="1" numFmtId="10" xfId="0" applyAlignment="1" applyFont="1" applyNumberFormat="1">
      <alignment readingOrder="0"/>
    </xf>
    <xf borderId="0" fillId="4" fontId="1" numFmtId="10" xfId="0" applyFill="1" applyFont="1" applyNumberFormat="1"/>
    <xf borderId="1" fillId="4" fontId="7" numFmtId="10" xfId="0" applyAlignment="1" applyBorder="1" applyFont="1" applyNumberFormat="1">
      <alignment horizontal="right" readingOrder="0" vertical="bottom"/>
    </xf>
    <xf borderId="0" fillId="0" fontId="10" numFmtId="0" xfId="0" applyAlignment="1" applyFont="1">
      <alignment readingOrder="0"/>
    </xf>
    <xf borderId="1" fillId="0" fontId="10" numFmtId="0" xfId="0" applyAlignment="1" applyBorder="1" applyFont="1">
      <alignment horizontal="center"/>
    </xf>
    <xf borderId="1" fillId="0" fontId="10" numFmtId="0" xfId="0" applyBorder="1" applyFont="1"/>
    <xf borderId="1" fillId="0" fontId="10" numFmtId="166" xfId="0" applyAlignment="1" applyBorder="1" applyFont="1" applyNumberForma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166" xfId="0" applyAlignment="1" applyBorder="1" applyFont="1" applyNumberFormat="1">
      <alignment readingOrder="0"/>
    </xf>
    <xf borderId="1" fillId="0" fontId="10" numFmtId="167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" xfId="0" applyAlignment="1" applyBorder="1" applyFont="1" applyNumberFormat="1">
      <alignment horizontal="right"/>
    </xf>
    <xf borderId="1" fillId="0" fontId="1" numFmtId="164" xfId="0" applyAlignment="1" applyBorder="1" applyFont="1" applyNumberFormat="1">
      <alignment horizontal="right"/>
    </xf>
    <xf borderId="0" fillId="0" fontId="1" numFmtId="1" xfId="0" applyAlignment="1" applyFont="1" applyNumberFormat="1">
      <alignment readingOrder="0"/>
    </xf>
    <xf borderId="0" fillId="0" fontId="1" numFmtId="173" xfId="0" applyFont="1" applyNumberFormat="1"/>
    <xf borderId="0" fillId="2" fontId="4" numFmtId="0" xfId="0" applyAlignment="1" applyFont="1">
      <alignment horizontal="right" readingOrder="0" shrinkToFit="0" vertical="bottom" wrapText="1"/>
    </xf>
    <xf borderId="1" fillId="0" fontId="10" numFmtId="0" xfId="0" applyAlignment="1" applyBorder="1" applyFont="1">
      <alignment horizontal="right"/>
    </xf>
    <xf borderId="1" fillId="0" fontId="11" numFmtId="0" xfId="0" applyAlignment="1" applyBorder="1" applyFont="1">
      <alignment readingOrder="0"/>
    </xf>
    <xf borderId="1" fillId="0" fontId="11" numFmtId="10" xfId="0" applyAlignment="1" applyBorder="1" applyFont="1" applyNumberFormat="1">
      <alignment horizontal="center" readingOrder="0"/>
    </xf>
    <xf borderId="1" fillId="0" fontId="11" numFmtId="9" xfId="0" applyAlignment="1" applyBorder="1" applyFont="1" applyNumberFormat="1">
      <alignment horizontal="center" readingOrder="0"/>
    </xf>
    <xf borderId="1" fillId="0" fontId="12" numFmtId="10" xfId="0" applyAlignment="1" applyBorder="1" applyFont="1" applyNumberFormat="1">
      <alignment horizontal="center" readingOrder="0"/>
    </xf>
    <xf borderId="1" fillId="5" fontId="1" numFmtId="10" xfId="0" applyAlignment="1" applyBorder="1" applyFill="1" applyFont="1" applyNumberFormat="1">
      <alignment vertical="bottom"/>
    </xf>
    <xf borderId="1" fillId="0" fontId="12" numFmtId="0" xfId="0" applyAlignment="1" applyBorder="1" applyFont="1">
      <alignment readingOrder="0"/>
    </xf>
    <xf borderId="1" fillId="0" fontId="12" numFmtId="9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readingOrder="0" vertical="bottom"/>
    </xf>
    <xf borderId="1" fillId="5" fontId="1" numFmtId="164" xfId="0" applyAlignment="1" applyBorder="1" applyFont="1" applyNumberFormat="1">
      <alignment vertical="bottom"/>
    </xf>
    <xf borderId="1" fillId="0" fontId="13" numFmtId="10" xfId="0" applyAlignment="1" applyBorder="1" applyFont="1" applyNumberFormat="1">
      <alignment horizontal="center" readingOrder="0"/>
    </xf>
    <xf borderId="3" fillId="0" fontId="14" numFmtId="10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14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38"/>
  </cols>
  <sheetData>
    <row r="1" ht="7.5" customHeight="1">
      <c r="A1" s="1">
        <v>1.0</v>
      </c>
      <c r="C1" s="2" t="s">
        <v>0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  <c r="L2" s="9">
        <f>SUMPRODUCT(J4:T4,J12:T12)/10^8</f>
        <v>1089.819876</v>
      </c>
    </row>
    <row r="3" ht="44.25" customHeight="1">
      <c r="C3" s="2" t="s">
        <v>2</v>
      </c>
      <c r="D3" s="3"/>
      <c r="E3" s="10"/>
      <c r="F3" s="11">
        <f t="shared" ref="F3:G3" si="1">J3</f>
        <v>45962</v>
      </c>
      <c r="G3" s="11">
        <f t="shared" si="1"/>
        <v>45931</v>
      </c>
      <c r="H3" s="12" t="s">
        <v>3</v>
      </c>
      <c r="I3" s="10"/>
      <c r="J3" s="13">
        <v>45962.0</v>
      </c>
      <c r="K3" s="13">
        <v>45931.0</v>
      </c>
      <c r="L3" s="14">
        <v>45901.0</v>
      </c>
      <c r="M3" s="14">
        <v>45870.0</v>
      </c>
      <c r="N3" s="14">
        <v>45839.0</v>
      </c>
      <c r="O3" s="13">
        <v>45809.0</v>
      </c>
      <c r="P3" s="13">
        <v>45778.0</v>
      </c>
      <c r="Q3" s="13">
        <v>45748.0</v>
      </c>
      <c r="R3" s="13">
        <v>45717.0</v>
      </c>
      <c r="S3" s="13">
        <v>45689.0</v>
      </c>
      <c r="T3" s="13">
        <v>45658.0</v>
      </c>
      <c r="U3" s="13">
        <v>45627.0</v>
      </c>
      <c r="V3" s="13">
        <v>45597.0</v>
      </c>
      <c r="W3" s="13">
        <v>45566.0</v>
      </c>
      <c r="X3" s="14">
        <v>45536.0</v>
      </c>
      <c r="Y3" s="14">
        <v>45505.0</v>
      </c>
      <c r="Z3" s="14">
        <v>45474.0</v>
      </c>
      <c r="AA3" s="13">
        <v>45444.0</v>
      </c>
      <c r="AB3" s="13">
        <v>45413.0</v>
      </c>
      <c r="AC3" s="13">
        <v>45383.0</v>
      </c>
      <c r="AD3" s="13">
        <v>45352.0</v>
      </c>
      <c r="AE3" s="13">
        <v>45323.0</v>
      </c>
      <c r="AF3" s="13">
        <v>45292.0</v>
      </c>
      <c r="AG3" s="13">
        <v>45261.0</v>
      </c>
      <c r="AH3" s="13">
        <v>45231.0</v>
      </c>
      <c r="AI3" s="13">
        <v>45200.0</v>
      </c>
      <c r="AJ3" s="13">
        <v>45170.0</v>
      </c>
      <c r="AK3" s="13">
        <v>45139.0</v>
      </c>
      <c r="AL3" s="13">
        <v>45108.0</v>
      </c>
      <c r="AM3" s="13">
        <v>45078.0</v>
      </c>
      <c r="AN3" s="13">
        <v>45047.0</v>
      </c>
      <c r="AO3" s="13">
        <v>45017.0</v>
      </c>
      <c r="AP3" s="13">
        <v>44986.0</v>
      </c>
      <c r="AQ3" s="13">
        <v>44958.0</v>
      </c>
      <c r="AR3" s="13">
        <v>44927.0</v>
      </c>
      <c r="AS3" s="13">
        <v>44896.0</v>
      </c>
      <c r="AT3" s="13">
        <v>44866.0</v>
      </c>
      <c r="AU3" s="13">
        <v>44835.0</v>
      </c>
      <c r="AV3" s="13">
        <v>44805.0</v>
      </c>
      <c r="AW3" s="13">
        <v>44774.0</v>
      </c>
      <c r="AX3" s="13">
        <v>44743.0</v>
      </c>
      <c r="AY3" s="13">
        <v>44713.0</v>
      </c>
      <c r="AZ3" s="13">
        <v>44682.0</v>
      </c>
      <c r="BA3" s="13">
        <v>44652.0</v>
      </c>
      <c r="BB3" s="13">
        <v>44621.0</v>
      </c>
      <c r="BC3" s="13">
        <v>44593.0</v>
      </c>
      <c r="BD3" s="1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>
        <f t="shared" ref="J4:T4" si="2">day(EOMONTH(J3,0))</f>
        <v>30</v>
      </c>
      <c r="K4" s="17">
        <f t="shared" si="2"/>
        <v>31</v>
      </c>
      <c r="L4" s="17">
        <f t="shared" si="2"/>
        <v>30</v>
      </c>
      <c r="M4" s="17">
        <f t="shared" si="2"/>
        <v>31</v>
      </c>
      <c r="N4" s="17">
        <f t="shared" si="2"/>
        <v>31</v>
      </c>
      <c r="O4" s="17">
        <f t="shared" si="2"/>
        <v>30</v>
      </c>
      <c r="P4" s="17">
        <f t="shared" si="2"/>
        <v>31</v>
      </c>
      <c r="Q4" s="17">
        <f t="shared" si="2"/>
        <v>30</v>
      </c>
      <c r="R4" s="17">
        <f t="shared" si="2"/>
        <v>31</v>
      </c>
      <c r="S4" s="17">
        <f t="shared" si="2"/>
        <v>28</v>
      </c>
      <c r="T4" s="17">
        <f t="shared" si="2"/>
        <v>31</v>
      </c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3">J6</f>
        <v>150753881.1</v>
      </c>
      <c r="G6" s="31">
        <f t="shared" si="3"/>
        <v>147023274.8</v>
      </c>
      <c r="H6" s="32">
        <f>IFERROR(F6/G6-1,"-")</f>
        <v>0.02537425622</v>
      </c>
      <c r="I6" s="30"/>
      <c r="J6" s="31">
        <v>1.5075388105128205E8</v>
      </c>
      <c r="K6" s="31">
        <v>1.4702327480645162E8</v>
      </c>
      <c r="L6" s="31">
        <v>1.433940153E8</v>
      </c>
      <c r="M6" s="31">
        <v>1.4134277729493088E8</v>
      </c>
      <c r="N6" s="31">
        <v>1.3979223470967743E8</v>
      </c>
      <c r="O6" s="31">
        <v>1.3764765546666664E8</v>
      </c>
      <c r="P6" s="31">
        <v>1.3562479983870968E8</v>
      </c>
      <c r="Q6" s="31">
        <v>1.3263934623333333E8</v>
      </c>
      <c r="R6" s="31">
        <v>1.3635458329032257E8</v>
      </c>
      <c r="S6" s="31">
        <v>1.3320973671428573E8</v>
      </c>
      <c r="T6" s="31">
        <v>1.3115546116129032E8</v>
      </c>
      <c r="U6" s="31">
        <v>1.3430783767741936E8</v>
      </c>
      <c r="V6" s="31">
        <v>1.315505627E8</v>
      </c>
      <c r="W6" s="31">
        <v>1.2761181248387098E8</v>
      </c>
      <c r="X6" s="31">
        <v>1.2560495283333331E8</v>
      </c>
      <c r="Y6" s="31">
        <v>1.2426158190322581E8</v>
      </c>
      <c r="Z6" s="31">
        <v>1.2284617467741933E8</v>
      </c>
      <c r="AA6" s="31">
        <v>1.1923126003333333E8</v>
      </c>
      <c r="AB6" s="31">
        <v>1.1733315425806452E8</v>
      </c>
      <c r="AC6" s="31">
        <v>1.16050325E8</v>
      </c>
      <c r="AD6" s="31">
        <v>1.1876643696774194E8</v>
      </c>
      <c r="AE6" s="31">
        <v>1.1222873996551725E8</v>
      </c>
      <c r="AF6" s="31">
        <v>1.1416651093548387E8</v>
      </c>
      <c r="AG6" s="31">
        <v>1.1261293132258065E8</v>
      </c>
      <c r="AH6" s="31">
        <v>1.124250021E8</v>
      </c>
      <c r="AI6" s="31">
        <v>1.06264477E8</v>
      </c>
      <c r="AJ6" s="31">
        <v>1.0110141876666668E8</v>
      </c>
      <c r="AK6" s="31">
        <v>9.760402829032257E7</v>
      </c>
      <c r="AL6" s="31">
        <v>9.255375570967743E7</v>
      </c>
      <c r="AM6" s="31">
        <v>8.709899983333334E7</v>
      </c>
      <c r="AN6" s="31">
        <v>8.78588295483871E7</v>
      </c>
      <c r="AO6" s="31">
        <v>8.758134943333334E7</v>
      </c>
      <c r="AP6" s="31">
        <v>8.768393059354839E7</v>
      </c>
      <c r="AQ6" s="31">
        <v>8.509728492857143E7</v>
      </c>
      <c r="AR6" s="31">
        <v>8.423427596774195E7</v>
      </c>
      <c r="AS6" s="31">
        <v>8.701724487096775E7</v>
      </c>
      <c r="AT6" s="31">
        <v>8.834585233333331E7</v>
      </c>
      <c r="AU6" s="31">
        <v>8.578923348387098E7</v>
      </c>
      <c r="AV6" s="31">
        <v>8.673260833333333E7</v>
      </c>
      <c r="AW6" s="31">
        <v>8.49278858387097E7</v>
      </c>
      <c r="AX6" s="31">
        <v>8.303101787741935E7</v>
      </c>
      <c r="AY6" s="33">
        <v>8.165320306666666E7</v>
      </c>
      <c r="AZ6" s="33">
        <v>8.025748935483871E7</v>
      </c>
      <c r="BA6" s="33">
        <v>8.236657381904761E7</v>
      </c>
      <c r="BB6" s="33">
        <v>8.08290638064516E7</v>
      </c>
      <c r="BC6" s="33">
        <v>7.818465903571428E7</v>
      </c>
      <c r="BD6" s="33">
        <v>7.616789780645162E7</v>
      </c>
    </row>
    <row r="7">
      <c r="D7" s="3"/>
      <c r="F7" s="4"/>
      <c r="G7" s="4"/>
      <c r="H7" s="5"/>
      <c r="J7" s="34"/>
      <c r="K7" s="34"/>
      <c r="L7" s="34"/>
      <c r="M7" s="35"/>
      <c r="N7" s="35"/>
      <c r="O7" s="35"/>
      <c r="P7" s="35"/>
      <c r="Q7" s="35"/>
      <c r="R7" s="35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4">J8</f>
        <v>22848271.88</v>
      </c>
      <c r="G8" s="31">
        <f t="shared" si="4"/>
        <v>21330354.45</v>
      </c>
      <c r="H8" s="32">
        <f t="shared" ref="H8:H12" si="6">IFERROR(F8/G8-1,"-")</f>
        <v>0.0711623163</v>
      </c>
      <c r="I8" s="30"/>
      <c r="J8" s="31">
        <v>2.2848271875384618E7</v>
      </c>
      <c r="K8" s="31">
        <v>2.133035444563919E7</v>
      </c>
      <c r="L8" s="31">
        <v>2.059209034285714E7</v>
      </c>
      <c r="M8" s="31">
        <v>2.014353678629032E7</v>
      </c>
      <c r="N8" s="31">
        <v>2.032195880645161E7</v>
      </c>
      <c r="O8" s="31">
        <v>1.9867290966666665E7</v>
      </c>
      <c r="P8" s="31">
        <v>1.9155327999999996E7</v>
      </c>
      <c r="Q8" s="31">
        <v>1.8081945733333334E7</v>
      </c>
      <c r="R8" s="31">
        <v>1.9616769645161286E7</v>
      </c>
      <c r="S8" s="31">
        <v>1.827289592857143E7</v>
      </c>
      <c r="T8" s="31">
        <v>1.7463776387096774E7</v>
      </c>
      <c r="U8" s="31">
        <v>1.8282416129032254E7</v>
      </c>
      <c r="V8" s="31">
        <v>1.782777523333333E7</v>
      </c>
      <c r="W8" s="31">
        <v>1.6854567451612905E7</v>
      </c>
      <c r="X8" s="31">
        <v>1.6651151466666665E7</v>
      </c>
      <c r="Y8" s="31">
        <v>1.6248782903225806E7</v>
      </c>
      <c r="Z8" s="31">
        <v>1.6067678096774193E7</v>
      </c>
      <c r="AA8" s="31">
        <v>1.5432068233333332E7</v>
      </c>
      <c r="AB8" s="31">
        <v>1.5063566000000002E7</v>
      </c>
      <c r="AC8" s="31">
        <v>1.4605378666666668E7</v>
      </c>
      <c r="AD8" s="31">
        <v>1.682918148387097E7</v>
      </c>
      <c r="AE8" s="31">
        <v>1.4327271482758619E7</v>
      </c>
      <c r="AF8" s="31">
        <v>1.4887087032258064E7</v>
      </c>
      <c r="AG8" s="31">
        <v>1.4908771903225807E7</v>
      </c>
      <c r="AH8" s="31">
        <v>1.498423876666667E7</v>
      </c>
      <c r="AI8" s="31">
        <v>1.4420602193548389E7</v>
      </c>
      <c r="AJ8" s="36">
        <v>1.3768076533333333E7</v>
      </c>
      <c r="AK8" s="36">
        <v>1.3463719967741936E7</v>
      </c>
      <c r="AL8" s="36">
        <v>1.2382372387096772E7</v>
      </c>
      <c r="AM8" s="36">
        <v>1.0818860933333334E7</v>
      </c>
      <c r="AN8" s="36">
        <v>1.032682612903226E7</v>
      </c>
      <c r="AO8" s="36">
        <v>1.04504982E7</v>
      </c>
      <c r="AP8" s="36">
        <v>1.0355061967741936E7</v>
      </c>
      <c r="AQ8" s="36">
        <v>9635834.25</v>
      </c>
      <c r="AR8" s="36">
        <v>9383052.381803142</v>
      </c>
      <c r="AS8" s="36">
        <v>9897352.322580645</v>
      </c>
      <c r="AT8" s="36">
        <v>9835640.366666665</v>
      </c>
      <c r="AU8" s="36">
        <v>9518816.741935486</v>
      </c>
      <c r="AV8" s="36">
        <v>1.0160133033333333E7</v>
      </c>
      <c r="AW8" s="36">
        <v>1.0501366032258065E7</v>
      </c>
      <c r="AX8" s="36">
        <v>1.0498719064516129E7</v>
      </c>
      <c r="AY8" s="37">
        <v>4039152.1666666665</v>
      </c>
      <c r="AZ8" s="37">
        <v>3735740.2258064514</v>
      </c>
      <c r="BA8" s="37">
        <v>4730740.333333333</v>
      </c>
      <c r="BB8" s="37">
        <v>3739082.5161290322</v>
      </c>
      <c r="BC8" s="37">
        <v>3417895.6428571427</v>
      </c>
      <c r="BD8" s="37">
        <v>3195191.7741935486</v>
      </c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5">J9</f>
        <v>0.1515600906</v>
      </c>
      <c r="G9" s="40">
        <f t="shared" si="5"/>
        <v>0.145081481</v>
      </c>
      <c r="H9" s="32">
        <f t="shared" si="6"/>
        <v>0.04465497334</v>
      </c>
      <c r="I9" s="30"/>
      <c r="J9" s="40">
        <v>0.15156009063283954</v>
      </c>
      <c r="K9" s="40">
        <v>0.14508148096768675</v>
      </c>
      <c r="L9" s="40">
        <v>0.14360494961924075</v>
      </c>
      <c r="M9" s="40">
        <v>0.14251550147665557</v>
      </c>
      <c r="N9" s="40">
        <v>0.14537258703000602</v>
      </c>
      <c r="O9" s="40">
        <v>0.14433439421333127</v>
      </c>
      <c r="P9" s="40">
        <v>0.1412376499193382</v>
      </c>
      <c r="Q9" s="40">
        <v>0.13632414699575168</v>
      </c>
      <c r="R9" s="40">
        <v>0.1438658618712785</v>
      </c>
      <c r="S9" s="40">
        <v>0.13717387616915694</v>
      </c>
      <c r="T9" s="40">
        <v>0.13315325364622402</v>
      </c>
      <c r="U9" s="40">
        <v>0.1361232259054231</v>
      </c>
      <c r="V9" s="40">
        <v>0.13552032668981756</v>
      </c>
      <c r="W9" s="40">
        <v>0.1320768596852519</v>
      </c>
      <c r="X9" s="40">
        <v>0.13256763440500052</v>
      </c>
      <c r="Y9" s="40">
        <v>0.1307627237184238</v>
      </c>
      <c r="Z9" s="40">
        <v>0.130795103217224</v>
      </c>
      <c r="AA9" s="40">
        <v>0.12942971691332464</v>
      </c>
      <c r="AB9" s="40">
        <v>0.12838286071189173</v>
      </c>
      <c r="AC9" s="40">
        <v>0.12585383683041532</v>
      </c>
      <c r="AD9" s="40">
        <v>0.14169980942041674</v>
      </c>
      <c r="AE9" s="40">
        <v>0.12766134135659665</v>
      </c>
      <c r="AF9" s="40">
        <v>0.1303980204901842</v>
      </c>
      <c r="AG9" s="40">
        <v>0.13238951981917166</v>
      </c>
      <c r="AH9" s="40">
        <v>0.13328208571736083</v>
      </c>
      <c r="AI9" s="40">
        <v>0.13570482442169635</v>
      </c>
      <c r="AJ9" s="36">
        <v>0.1361808439613381</v>
      </c>
      <c r="AK9" s="36">
        <v>0.13794225713404148</v>
      </c>
      <c r="AL9" s="36">
        <v>0.13378573664733598</v>
      </c>
      <c r="AM9" s="36">
        <v>0.1242133773526167</v>
      </c>
      <c r="AN9" s="36">
        <v>0.11753885388770056</v>
      </c>
      <c r="AO9" s="36">
        <v>0.11932332931173763</v>
      </c>
      <c r="AP9" s="36">
        <v>0.11809532143058196</v>
      </c>
      <c r="AQ9" s="36">
        <v>0.11323315729859164</v>
      </c>
      <c r="AR9" s="36">
        <v>0.11139233137584564</v>
      </c>
      <c r="AS9" s="36">
        <v>0.11374012515860264</v>
      </c>
      <c r="AT9" s="36">
        <v>0.11133109372872767</v>
      </c>
      <c r="AU9" s="36">
        <v>0.11095584323789412</v>
      </c>
      <c r="AV9" s="36">
        <v>0.11714317404459473</v>
      </c>
      <c r="AW9" s="36">
        <v>0.12365038795622058</v>
      </c>
      <c r="AX9" s="36">
        <v>0.12644333807897712</v>
      </c>
      <c r="AY9" s="37">
        <v>0.049467161298851384</v>
      </c>
      <c r="AZ9" s="37">
        <v>0.046546936065864165</v>
      </c>
      <c r="BA9" s="37">
        <v>0.05743519626937948</v>
      </c>
      <c r="BB9" s="37">
        <v>0.04625913427727449</v>
      </c>
      <c r="BC9" s="37">
        <v>0.0437156813754968</v>
      </c>
      <c r="BD9" s="37">
        <v>0.04194932335290088</v>
      </c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7">J10</f>
        <v>40183473.26</v>
      </c>
      <c r="G10" s="31">
        <f t="shared" si="7"/>
        <v>36825405.16</v>
      </c>
      <c r="H10" s="32">
        <f t="shared" si="6"/>
        <v>0.0911888976</v>
      </c>
      <c r="I10" s="30"/>
      <c r="J10" s="31">
        <v>4.018347326153981E7</v>
      </c>
      <c r="K10" s="31">
        <v>3.6825405161291406E7</v>
      </c>
      <c r="L10" s="31">
        <v>3.534438230476281E7</v>
      </c>
      <c r="M10" s="31">
        <v>3.4385453304436214E7</v>
      </c>
      <c r="N10" s="31">
        <v>3.4637474349895395E7</v>
      </c>
      <c r="O10" s="31">
        <v>3.411547173333417E7</v>
      </c>
      <c r="P10" s="31">
        <v>3.2196014741936058E7</v>
      </c>
      <c r="Q10" s="31">
        <v>3.0037210233333975E7</v>
      </c>
      <c r="R10" s="31">
        <v>3.3465607225807335E7</v>
      </c>
      <c r="S10" s="31">
        <v>3.0269953250000592E7</v>
      </c>
      <c r="T10" s="31">
        <v>2.8913942225806944E7</v>
      </c>
      <c r="U10" s="31">
        <v>3.082314158064586E7</v>
      </c>
      <c r="V10" s="31">
        <v>2.9915551566667203E7</v>
      </c>
      <c r="W10" s="31">
        <v>2.768784909677463E7</v>
      </c>
      <c r="X10" s="31">
        <v>2.7419860233333677E7</v>
      </c>
      <c r="Y10" s="31">
        <v>2.6576347225806843E7</v>
      </c>
      <c r="Z10" s="31">
        <v>2.6403679935484294E7</v>
      </c>
      <c r="AA10" s="31">
        <v>2.5399175833333574E7</v>
      </c>
      <c r="AB10" s="31">
        <v>2.466432841935505E7</v>
      </c>
      <c r="AC10" s="31">
        <v>2.3743583633333623E7</v>
      </c>
      <c r="AD10" s="31">
        <v>2.816692438709735E7</v>
      </c>
      <c r="AE10" s="31">
        <v>2.320676979310339E7</v>
      </c>
      <c r="AF10" s="31">
        <v>2.4242432451612998E7</v>
      </c>
      <c r="AG10" s="31">
        <v>2.467167983870972E7</v>
      </c>
      <c r="AH10" s="31">
        <v>2.4986839899999958E7</v>
      </c>
      <c r="AI10" s="31">
        <v>2.3734880709677417E7</v>
      </c>
      <c r="AJ10" s="36">
        <v>2.23669986666666E7</v>
      </c>
      <c r="AK10" s="36">
        <v>2.1768550225806415E7</v>
      </c>
      <c r="AL10" s="36">
        <v>2.02868917419354E7</v>
      </c>
      <c r="AM10" s="36">
        <v>1.770470546666664E7</v>
      </c>
      <c r="AN10" s="36">
        <v>1.6428381709677408E7</v>
      </c>
      <c r="AO10" s="36">
        <v>1.7073800599999998E7</v>
      </c>
      <c r="AP10" s="36">
        <v>1.667284812903225E7</v>
      </c>
      <c r="AQ10" s="36">
        <v>1.5210720999999981E7</v>
      </c>
      <c r="AR10" s="36">
        <v>1.4776304193052096E7</v>
      </c>
      <c r="AS10" s="36">
        <v>1.6026655064516054E7</v>
      </c>
      <c r="AT10" s="36">
        <v>1.589446780000001E7</v>
      </c>
      <c r="AU10" s="36">
        <v>1.5144486612903226E7</v>
      </c>
      <c r="AV10" s="36">
        <v>1.6461133533333233E7</v>
      </c>
      <c r="AW10" s="36">
        <v>1.734975554838701E7</v>
      </c>
      <c r="AX10" s="36">
        <v>1.7720253935483813E7</v>
      </c>
      <c r="AY10" s="37">
        <v>6851324.066666591</v>
      </c>
      <c r="AZ10" s="37">
        <v>6154880.48387099</v>
      </c>
      <c r="BA10" s="37">
        <v>8594126.366666557</v>
      </c>
      <c r="BB10" s="37">
        <v>6538882.451612886</v>
      </c>
      <c r="BC10" s="37">
        <v>5785703.6785713965</v>
      </c>
      <c r="BD10" s="37">
        <v>5313141.774193617</v>
      </c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8">J11</f>
        <v>0.2665501742</v>
      </c>
      <c r="G11" s="41">
        <f t="shared" si="8"/>
        <v>0.2504733023</v>
      </c>
      <c r="H11" s="32">
        <f t="shared" si="6"/>
        <v>0.06418597013</v>
      </c>
      <c r="I11" s="30"/>
      <c r="J11" s="41">
        <v>0.2665501742397635</v>
      </c>
      <c r="K11" s="41">
        <v>0.25047330233781084</v>
      </c>
      <c r="L11" s="41">
        <v>0.24648436150433126</v>
      </c>
      <c r="M11" s="41">
        <v>0.24327704579262868</v>
      </c>
      <c r="N11" s="41">
        <v>0.24777824334685694</v>
      </c>
      <c r="O11" s="41">
        <v>0.24784636990490347</v>
      </c>
      <c r="P11" s="41">
        <v>0.23739032079844408</v>
      </c>
      <c r="Q11" s="41">
        <v>0.22645776752015823</v>
      </c>
      <c r="R11" s="41">
        <v>0.24543074694125425</v>
      </c>
      <c r="S11" s="41">
        <v>0.22723529072747106</v>
      </c>
      <c r="T11" s="41">
        <v>0.22045549586570098</v>
      </c>
      <c r="U11" s="41">
        <v>0.22949622385163326</v>
      </c>
      <c r="V11" s="41">
        <v>0.22740724898980005</v>
      </c>
      <c r="W11" s="41">
        <v>0.21696932719511472</v>
      </c>
      <c r="X11" s="41">
        <v>0.2183023807167653</v>
      </c>
      <c r="Y11" s="41">
        <v>0.21387420648245364</v>
      </c>
      <c r="Z11" s="41">
        <v>0.21493286221420796</v>
      </c>
      <c r="AA11" s="41">
        <v>0.2130244688031709</v>
      </c>
      <c r="AB11" s="41">
        <v>0.21020766530411267</v>
      </c>
      <c r="AC11" s="41">
        <v>0.20459730408625415</v>
      </c>
      <c r="AD11" s="41">
        <v>0.2371623255377085</v>
      </c>
      <c r="AE11" s="41">
        <v>0.20678098854387714</v>
      </c>
      <c r="AF11" s="41">
        <v>0.21234276367885616</v>
      </c>
      <c r="AG11" s="41">
        <v>0.21908389692865282</v>
      </c>
      <c r="AH11" s="41">
        <v>0.22225340834572205</v>
      </c>
      <c r="AI11" s="41">
        <v>0.22335667929441197</v>
      </c>
      <c r="AJ11" s="31">
        <v>0.2212332817829955</v>
      </c>
      <c r="AK11" s="31">
        <v>0.22302921925574629</v>
      </c>
      <c r="AL11" s="31">
        <v>0.21919036765586597</v>
      </c>
      <c r="AM11" s="31">
        <v>0.2032710536348884</v>
      </c>
      <c r="AN11" s="31">
        <v>0.18698612073621687</v>
      </c>
      <c r="AO11" s="31">
        <v>0.19494790512444118</v>
      </c>
      <c r="AP11" s="31">
        <v>0.1901471343286133</v>
      </c>
      <c r="AQ11" s="31">
        <v>0.17874507997249836</v>
      </c>
      <c r="AR11" s="31">
        <v>0.1754191393383707</v>
      </c>
      <c r="AS11" s="31">
        <v>0.18417791885138338</v>
      </c>
      <c r="AT11" s="31">
        <v>0.179911873395362</v>
      </c>
      <c r="AU11" s="31">
        <v>0.1765313198159126</v>
      </c>
      <c r="AV11" s="31">
        <v>0.18979175018084682</v>
      </c>
      <c r="AW11" s="31">
        <v>0.2042880895603206</v>
      </c>
      <c r="AX11" s="31">
        <v>0.21341727933101629</v>
      </c>
      <c r="AY11" s="33">
        <v>0.08390759712234132</v>
      </c>
      <c r="AZ11" s="33">
        <v>0.07668917297747382</v>
      </c>
      <c r="BA11" s="33">
        <v>0.10433997637861112</v>
      </c>
      <c r="BB11" s="33">
        <v>0.0808976640787341</v>
      </c>
      <c r="BC11" s="33">
        <v>0.074000497667049</v>
      </c>
      <c r="BD11" s="33">
        <v>0.06975565726777325</v>
      </c>
    </row>
    <row r="12" ht="16.5" customHeight="1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9">J12</f>
        <v>396348583.9</v>
      </c>
      <c r="G12" s="31">
        <f t="shared" si="9"/>
        <v>355329936.1</v>
      </c>
      <c r="H12" s="32">
        <f t="shared" si="6"/>
        <v>0.1154381987</v>
      </c>
      <c r="I12" s="30"/>
      <c r="J12" s="31">
        <v>3.9634858391271037E8</v>
      </c>
      <c r="K12" s="31">
        <v>3.553299361434448E8</v>
      </c>
      <c r="L12" s="31">
        <v>3.432182182852737E8</v>
      </c>
      <c r="M12" s="31">
        <v>3.27656417356122E8</v>
      </c>
      <c r="N12" s="31">
        <v>3.2628686776142883E8</v>
      </c>
      <c r="O12" s="31">
        <v>3.264997407954259E8</v>
      </c>
      <c r="P12" s="31">
        <v>3.1419371406381273E8</v>
      </c>
      <c r="Q12" s="31">
        <v>2.9282886762525845E8</v>
      </c>
      <c r="R12" s="31">
        <v>3.1668664805820245E8</v>
      </c>
      <c r="S12" s="31">
        <v>3.035665800287525E8</v>
      </c>
      <c r="T12" s="31">
        <v>2.861451588412503E8</v>
      </c>
      <c r="U12" s="31">
        <v>2.9922676611625904E8</v>
      </c>
      <c r="V12" s="31">
        <v>3.0033480324611837E8</v>
      </c>
      <c r="W12" s="31">
        <v>2.822919077055186E8</v>
      </c>
      <c r="X12" s="31">
        <v>2.7204970970368737E8</v>
      </c>
      <c r="Y12" s="31">
        <v>2.5158851209149852E8</v>
      </c>
      <c r="Z12" s="31">
        <v>2.489531963839288E8</v>
      </c>
      <c r="AA12" s="31">
        <v>2.4486364270729297E8</v>
      </c>
      <c r="AB12" s="31">
        <v>2.428338386287831E8</v>
      </c>
      <c r="AC12" s="31">
        <v>2.3495553563208178E8</v>
      </c>
      <c r="AD12" s="31">
        <v>2.6078333776753438E8</v>
      </c>
      <c r="AE12" s="31">
        <v>2.282468051823122E8</v>
      </c>
      <c r="AF12" s="31">
        <v>2.4481248724311885E8</v>
      </c>
      <c r="AG12" s="31">
        <v>2.459750551233932E8</v>
      </c>
      <c r="AH12" s="31">
        <v>2.4495408957957298E8</v>
      </c>
      <c r="AI12" s="31">
        <v>2.2232662718896082E8</v>
      </c>
      <c r="AJ12" s="31">
        <v>2.1219819058606768E8</v>
      </c>
      <c r="AK12" s="31">
        <v>2.0564457214269906E8</v>
      </c>
      <c r="AL12" s="31">
        <v>1.9688584799077266E8</v>
      </c>
      <c r="AM12" s="31">
        <v>1.8646798917604902E8</v>
      </c>
      <c r="AN12" s="31">
        <v>1.8315307510094845E8</v>
      </c>
      <c r="AO12" s="31">
        <v>1.8507196452080512E8</v>
      </c>
      <c r="AP12" s="31">
        <v>1.8530473702762938E8</v>
      </c>
      <c r="AQ12" s="31">
        <v>1.815451809543542E8</v>
      </c>
      <c r="AR12" s="31">
        <v>1.7146201561130124E8</v>
      </c>
      <c r="AS12" s="31">
        <v>1.8433029659578702E8</v>
      </c>
      <c r="AT12" s="31">
        <v>1.8704810957487768E8</v>
      </c>
      <c r="AU12" s="31">
        <v>1.7366133246640787E8</v>
      </c>
      <c r="AV12" s="31">
        <v>1.9024641705125663E8</v>
      </c>
      <c r="AW12" s="31">
        <v>1.8982305947910097E8</v>
      </c>
      <c r="AX12" s="31">
        <v>1.895135777048349E8</v>
      </c>
      <c r="AY12" s="33">
        <v>5.675269373764615E7</v>
      </c>
      <c r="AZ12" s="33">
        <v>5.0166168607864454E7</v>
      </c>
      <c r="BA12" s="33">
        <v>6.99075301000977E7</v>
      </c>
      <c r="BB12" s="33">
        <v>5.426750828029821E7</v>
      </c>
      <c r="BC12" s="33">
        <v>4.945956669351172E7</v>
      </c>
      <c r="BD12" s="33">
        <v>4.855313870530733E7</v>
      </c>
    </row>
    <row r="13">
      <c r="D13" s="3"/>
      <c r="F13" s="4"/>
      <c r="G13" s="4"/>
      <c r="H13" s="5"/>
      <c r="J13" s="42">
        <f t="shared" ref="J13:K13" si="10">J12/K12</f>
        <v>1.115438199</v>
      </c>
      <c r="K13" s="42">
        <f t="shared" si="10"/>
        <v>1.03528868</v>
      </c>
      <c r="L13" s="34"/>
      <c r="M13" s="34"/>
      <c r="N13" s="34"/>
      <c r="O13" s="34"/>
      <c r="P13" s="34"/>
      <c r="Q13" s="34"/>
      <c r="V13" s="42">
        <f t="shared" ref="V13:W13" si="11">V12/W12</f>
        <v>1.063915738</v>
      </c>
      <c r="W13" s="42">
        <f t="shared" si="11"/>
        <v>1.037648259</v>
      </c>
      <c r="X13" s="34"/>
      <c r="Y13" s="34"/>
      <c r="Z13" s="43"/>
      <c r="AA13" s="34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12">J14</f>
        <v>14118401.56</v>
      </c>
      <c r="G14" s="31">
        <f t="shared" si="12"/>
        <v>12353601.78</v>
      </c>
      <c r="H14" s="32">
        <f t="shared" ref="H14:H16" si="14">IFERROR(F14/G14-1,"-")</f>
        <v>0.1428571045</v>
      </c>
      <c r="I14" s="30"/>
      <c r="J14" s="31">
        <v>1.411840156107789E7</v>
      </c>
      <c r="K14" s="31">
        <v>1.2353601780510219E7</v>
      </c>
      <c r="L14" s="31">
        <v>1.1651783310793804E7</v>
      </c>
      <c r="M14" s="31">
        <v>1.084470102958194E7</v>
      </c>
      <c r="N14" s="31">
        <v>1.0598892030600132E7</v>
      </c>
      <c r="O14" s="31">
        <v>1.0145355161187567E7</v>
      </c>
      <c r="P14" s="31">
        <v>9005882.22812064</v>
      </c>
      <c r="Q14" s="31">
        <v>7950544.958381078</v>
      </c>
      <c r="R14" s="31">
        <v>8352182.574166002</v>
      </c>
      <c r="S14" s="31">
        <v>7724586.175976148</v>
      </c>
      <c r="T14" s="31">
        <v>7291682.071546715</v>
      </c>
      <c r="U14" s="31">
        <v>8171731.13374125</v>
      </c>
      <c r="V14" s="31">
        <v>7810394.620728659</v>
      </c>
      <c r="W14" s="31">
        <v>7303318.780055181</v>
      </c>
      <c r="X14" s="36">
        <v>6945214.276549115</v>
      </c>
      <c r="Y14" s="36">
        <v>6426808.133721709</v>
      </c>
      <c r="Z14" s="36">
        <v>6238831.322855094</v>
      </c>
      <c r="AA14" s="36">
        <v>5962930.849312793</v>
      </c>
      <c r="AB14" s="36">
        <v>5514242.630606036</v>
      </c>
      <c r="AC14" s="36">
        <v>5130075.970359695</v>
      </c>
      <c r="AD14" s="36">
        <v>5403784.756971327</v>
      </c>
      <c r="AE14" s="36">
        <v>4504739.038822157</v>
      </c>
      <c r="AF14" s="36">
        <v>4952246.231530859</v>
      </c>
      <c r="AG14" s="36">
        <v>5090618.9968105685</v>
      </c>
      <c r="AH14" s="36">
        <v>4955906.222643958</v>
      </c>
      <c r="AI14" s="36">
        <v>4483549.720082419</v>
      </c>
      <c r="AJ14" s="36">
        <v>4339364.7766609425</v>
      </c>
      <c r="AK14" s="36">
        <v>4208811.6237654155</v>
      </c>
      <c r="AL14" s="36">
        <v>4061939.973966442</v>
      </c>
      <c r="AM14" s="36">
        <v>3852406.355276047</v>
      </c>
      <c r="AN14" s="36">
        <v>3640747.8922599945</v>
      </c>
      <c r="AO14" s="36">
        <v>3662444.856574852</v>
      </c>
      <c r="AP14" s="36">
        <v>3699929.489370128</v>
      </c>
      <c r="AQ14" s="36">
        <v>3629194.969285194</v>
      </c>
      <c r="AR14" s="36">
        <v>3348763.4011513973</v>
      </c>
      <c r="AS14" s="36"/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>
        <f t="shared" ref="F15:G15" si="13">J15</f>
        <v>0.03562117322</v>
      </c>
      <c r="G15" s="40">
        <f t="shared" si="13"/>
        <v>0.03476656629</v>
      </c>
      <c r="H15" s="32">
        <f t="shared" si="14"/>
        <v>0.02458128639</v>
      </c>
      <c r="I15" s="30"/>
      <c r="J15" s="40">
        <v>0.03562117321500825</v>
      </c>
      <c r="K15" s="40">
        <v>0.034766566292132324</v>
      </c>
      <c r="L15" s="40">
        <v>0.033948615458137356</v>
      </c>
      <c r="M15" s="40">
        <v>0.0330977830896414</v>
      </c>
      <c r="N15" s="40">
        <v>0.03248335461159204</v>
      </c>
      <c r="O15" s="40">
        <v>0.03107308794938467</v>
      </c>
      <c r="P15" s="40">
        <v>0.02866347041650727</v>
      </c>
      <c r="Q15" s="40">
        <v>0.02715082369732625</v>
      </c>
      <c r="R15" s="40">
        <v>0.026373649237750596</v>
      </c>
      <c r="S15" s="40">
        <v>0.025446102055254265</v>
      </c>
      <c r="T15" s="40">
        <v>0.025482458277730456</v>
      </c>
      <c r="U15" s="40">
        <v>0.027309492529041586</v>
      </c>
      <c r="V15" s="40">
        <v>0.026005626175559137</v>
      </c>
      <c r="W15" s="40">
        <v>0.025871513071050765</v>
      </c>
      <c r="X15" s="40">
        <v>0.0255292103936216</v>
      </c>
      <c r="Y15" s="40">
        <v>0.0255449188847875</v>
      </c>
      <c r="Z15" s="40">
        <v>0.025060257966054548</v>
      </c>
      <c r="AA15" s="40">
        <v>0.024352046646797656</v>
      </c>
      <c r="AB15" s="36">
        <v>0.022707883966021664</v>
      </c>
      <c r="AC15" s="36">
        <v>0.021834241770719166</v>
      </c>
      <c r="AD15" s="36">
        <v>0.020721357442661195</v>
      </c>
      <c r="AE15" s="36">
        <v>0.019736263275290954</v>
      </c>
      <c r="AF15" s="36">
        <v>0.02022873215046777</v>
      </c>
      <c r="AG15" s="36">
        <v>0.020695671738977205</v>
      </c>
      <c r="AH15" s="36">
        <v>0.02023197992387075</v>
      </c>
      <c r="AI15" s="36">
        <v>0.020166499068380778</v>
      </c>
      <c r="AJ15" s="36">
        <v>0.020449584252703108</v>
      </c>
      <c r="AK15" s="36">
        <v>0.020466436725812893</v>
      </c>
      <c r="AL15" s="36">
        <v>0.02063093927480664</v>
      </c>
      <c r="AM15" s="36">
        <v>0.020659880402522576</v>
      </c>
      <c r="AN15" s="36">
        <v>0.019878169614424023</v>
      </c>
      <c r="AO15" s="36">
        <v>0.019789301237806513</v>
      </c>
      <c r="AP15" s="36">
        <v>0.019966729122626044</v>
      </c>
      <c r="AQ15" s="36">
        <v>0.019990588294368884</v>
      </c>
      <c r="AR15" s="36">
        <v>0.01953064291943782</v>
      </c>
      <c r="AS15" s="36"/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>
        <f t="shared" ref="F16:G16" si="15">J16</f>
        <v>8.218146343</v>
      </c>
      <c r="G16" s="36">
        <f t="shared" si="15"/>
        <v>8.130965716</v>
      </c>
      <c r="H16" s="32">
        <f t="shared" si="14"/>
        <v>0.01072205078</v>
      </c>
      <c r="I16" s="30"/>
      <c r="J16" s="36">
        <v>8.218146343291448</v>
      </c>
      <c r="K16" s="36">
        <v>8.130965715980034</v>
      </c>
      <c r="L16" s="36">
        <v>7.9457230269097945</v>
      </c>
      <c r="M16" s="36">
        <v>7.727875940169228</v>
      </c>
      <c r="N16" s="36">
        <v>7.670169154332514</v>
      </c>
      <c r="O16" s="36">
        <v>8.076621304148098</v>
      </c>
      <c r="P16" s="36">
        <v>7.969075017495029</v>
      </c>
      <c r="Q16" s="36">
        <v>8.044370233647598</v>
      </c>
      <c r="R16" s="36">
        <v>8.097658238339974</v>
      </c>
      <c r="S16" s="36">
        <v>8.048987666183336</v>
      </c>
      <c r="T16" s="36">
        <v>8.204059638818176</v>
      </c>
      <c r="U16" s="36">
        <v>7.513945169332564</v>
      </c>
      <c r="V16" s="36">
        <v>8.084592641144468</v>
      </c>
      <c r="W16" s="36">
        <v>7.624867813918082</v>
      </c>
      <c r="X16" s="31">
        <v>7.818360307387098</v>
      </c>
      <c r="Y16" s="31">
        <v>6.936699905766663</v>
      </c>
      <c r="Z16" s="31">
        <v>6.886969071832892</v>
      </c>
      <c r="AA16" s="31">
        <v>6.564168746237629</v>
      </c>
      <c r="AB16" s="31">
        <v>6.861628225540685</v>
      </c>
      <c r="AC16" s="31">
        <v>6.61545799263283</v>
      </c>
      <c r="AD16" s="31">
        <v>6.546438483299501</v>
      </c>
      <c r="AE16" s="31">
        <v>6.290263594618847</v>
      </c>
      <c r="AF16" s="31">
        <v>6.289104424380213</v>
      </c>
      <c r="AG16" s="31">
        <v>6.188690232685908</v>
      </c>
      <c r="AH16" s="31">
        <v>6.187638348005441</v>
      </c>
      <c r="AI16" s="31">
        <v>6.020258845397172</v>
      </c>
      <c r="AJ16" s="31">
        <v>6.151505066349956</v>
      </c>
      <c r="AK16" s="31">
        <v>6.085473959731476</v>
      </c>
      <c r="AL16" s="31">
        <v>5.967138830046712</v>
      </c>
      <c r="AM16" s="31">
        <v>5.90196452261156</v>
      </c>
      <c r="AN16" s="31">
        <v>5.908552112496374</v>
      </c>
      <c r="AO16" s="31">
        <v>5.853904529694209</v>
      </c>
      <c r="AP16" s="31">
        <v>5.719807871002463</v>
      </c>
      <c r="AQ16" s="31">
        <v>5.695138250467296</v>
      </c>
      <c r="AR16" s="31">
        <v>5.683004751438753</v>
      </c>
      <c r="AS16" s="31"/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</row>
    <row r="17">
      <c r="D17" s="3"/>
      <c r="F17" s="4"/>
      <c r="G17" s="4"/>
      <c r="H17" s="5"/>
      <c r="J17" s="44"/>
      <c r="K17" s="44"/>
      <c r="L17" s="44"/>
      <c r="M17" s="44"/>
      <c r="N17" s="44"/>
      <c r="O17" s="34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6">J18</f>
        <v>13309600.23</v>
      </c>
      <c r="G18" s="31">
        <f t="shared" si="16"/>
        <v>11698096.82</v>
      </c>
      <c r="H18" s="32">
        <f t="shared" ref="H18:H19" si="18">IFERROR(F18/G18-1,"-")</f>
        <v>0.137757742</v>
      </c>
      <c r="I18" s="30"/>
      <c r="J18" s="31">
        <v>1.33096002289146E7</v>
      </c>
      <c r="K18" s="31">
        <v>1.16980968241678E7</v>
      </c>
      <c r="L18" s="31">
        <v>1.10458861858301E7</v>
      </c>
      <c r="M18" s="31">
        <v>1.03818456830979E7</v>
      </c>
      <c r="N18" s="31">
        <v>1.01904724352885E7</v>
      </c>
      <c r="O18" s="31">
        <v>9709661.64317377</v>
      </c>
      <c r="P18" s="31">
        <v>8592518.39157355</v>
      </c>
      <c r="Q18" s="31">
        <v>7635413.72791145</v>
      </c>
      <c r="R18" s="31">
        <v>8019541.78831921</v>
      </c>
      <c r="S18" s="31">
        <v>7441328.23847172</v>
      </c>
      <c r="T18" s="31">
        <v>7022526.01081238</v>
      </c>
      <c r="U18" s="31">
        <v>7796512.32031495</v>
      </c>
      <c r="V18" s="31">
        <v>7411223.34081692</v>
      </c>
      <c r="W18" s="31">
        <v>6954565.12698584</v>
      </c>
      <c r="X18" s="36">
        <v>6611096.33739008</v>
      </c>
      <c r="Y18" s="36">
        <v>6148337.67605103</v>
      </c>
      <c r="Z18" s="36">
        <v>5995099.75597826</v>
      </c>
      <c r="AA18" s="36">
        <v>5737838.05246093</v>
      </c>
      <c r="AB18" s="36">
        <v>5310930.12194733</v>
      </c>
      <c r="AC18" s="36">
        <v>4908906.67250592</v>
      </c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</row>
    <row r="19">
      <c r="A19" s="45"/>
      <c r="B19" s="46"/>
      <c r="C19" s="47" t="s">
        <v>19</v>
      </c>
      <c r="D19" s="48" t="s">
        <v>10</v>
      </c>
      <c r="E19" s="49"/>
      <c r="F19" s="40">
        <f t="shared" ref="F19:G19" si="17">J19</f>
        <v>0.0335805419</v>
      </c>
      <c r="G19" s="40">
        <f t="shared" si="17"/>
        <v>0.03292178799</v>
      </c>
      <c r="H19" s="50">
        <f t="shared" si="18"/>
        <v>0.02000966381</v>
      </c>
      <c r="I19" s="49"/>
      <c r="J19" s="40">
        <v>0.0335805418995666</v>
      </c>
      <c r="K19" s="40">
        <v>0.032921787989868</v>
      </c>
      <c r="L19" s="40">
        <v>0.0321832746554528</v>
      </c>
      <c r="M19" s="40">
        <v>0.0316851590054901</v>
      </c>
      <c r="N19" s="40">
        <v>0.0312316352331395</v>
      </c>
      <c r="O19" s="40">
        <v>0.0297386503876507</v>
      </c>
      <c r="P19" s="40">
        <v>0.0273478367228836</v>
      </c>
      <c r="Q19" s="40">
        <v>0.0260746619342281</v>
      </c>
      <c r="R19" s="40">
        <v>0.0253232709288246</v>
      </c>
      <c r="S19" s="40">
        <v>0.0245130021814882</v>
      </c>
      <c r="T19" s="40">
        <v>0.0245418305843447</v>
      </c>
      <c r="U19" s="40">
        <v>0.026055531132819</v>
      </c>
      <c r="V19" s="40">
        <v>0.0246765385187263</v>
      </c>
      <c r="W19" s="40">
        <v>0.0246360768309402</v>
      </c>
      <c r="X19" s="40">
        <v>0.0243010600694659</v>
      </c>
      <c r="Y19" s="40">
        <v>0.0244380700252918</v>
      </c>
      <c r="Z19" s="40">
        <v>0.0240812323081515</v>
      </c>
      <c r="AA19" s="40">
        <v>0.023432788914767</v>
      </c>
      <c r="AB19" s="40">
        <v>0.0218706344714423</v>
      </c>
      <c r="AC19" s="40">
        <v>0.0208929177144087</v>
      </c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51"/>
      <c r="AZ19" s="51"/>
      <c r="BA19" s="51"/>
      <c r="BB19" s="51"/>
      <c r="BC19" s="51"/>
      <c r="BD19" s="51"/>
    </row>
    <row r="20">
      <c r="D20" s="3"/>
      <c r="F20" s="5"/>
      <c r="G20" s="4"/>
      <c r="H20" s="52"/>
      <c r="J20" s="44"/>
      <c r="K20" s="44"/>
      <c r="L20" s="44"/>
      <c r="M20" s="44"/>
      <c r="N20" s="44"/>
      <c r="O20" s="44"/>
      <c r="P20" s="44"/>
      <c r="Q20" s="44"/>
      <c r="R20" s="44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9">J21</f>
        <v>13146810.68</v>
      </c>
      <c r="G21" s="31">
        <f t="shared" si="19"/>
        <v>11535171.82</v>
      </c>
      <c r="H21" s="32">
        <f t="shared" ref="H21:H22" si="21">IFERROR(F21/G21-1,"-")</f>
        <v>0.1397152018</v>
      </c>
      <c r="I21" s="30"/>
      <c r="J21" s="31">
        <v>1.31468106776462E7</v>
      </c>
      <c r="K21" s="31">
        <v>1.15351718187674E7</v>
      </c>
      <c r="L21" s="31">
        <v>1.09064677661531E7</v>
      </c>
      <c r="M21" s="31">
        <v>1.02484860432896E7</v>
      </c>
      <c r="N21" s="31">
        <v>1.00654284300765E7</v>
      </c>
      <c r="O21" s="31">
        <v>9570544.67807256</v>
      </c>
      <c r="P21" s="31">
        <v>8494231.26437324</v>
      </c>
      <c r="Q21" s="31">
        <v>7575477.54740095</v>
      </c>
      <c r="R21" s="31">
        <v>7917604.58716322</v>
      </c>
      <c r="S21" s="31">
        <v>7289437.40684273</v>
      </c>
      <c r="T21" s="31">
        <v>6866180.50442538</v>
      </c>
      <c r="U21" s="31">
        <v>7638555.45978126</v>
      </c>
      <c r="V21" s="31">
        <v>7262759.80378433</v>
      </c>
      <c r="W21" s="31">
        <v>6617254.67749454</v>
      </c>
      <c r="X21" s="36">
        <v>6151034.07654583</v>
      </c>
      <c r="Y21" s="36">
        <v>5563229.48558791</v>
      </c>
      <c r="Z21" s="36">
        <v>5350201.1582036</v>
      </c>
      <c r="AA21" s="36">
        <v>5207659.50753569</v>
      </c>
      <c r="AB21" s="36">
        <v>4869499.11043668</v>
      </c>
      <c r="AC21" s="36">
        <v>4633820.89711425</v>
      </c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</row>
    <row r="22">
      <c r="A22" s="45"/>
      <c r="B22" s="46"/>
      <c r="C22" s="47" t="s">
        <v>21</v>
      </c>
      <c r="D22" s="48" t="s">
        <v>10</v>
      </c>
      <c r="E22" s="49"/>
      <c r="F22" s="40">
        <f t="shared" ref="F22:G22" si="20">J22</f>
        <v>0.03316981872</v>
      </c>
      <c r="G22" s="40">
        <f t="shared" si="20"/>
        <v>0.03246327046</v>
      </c>
      <c r="H22" s="50">
        <f t="shared" si="21"/>
        <v>0.02176454345</v>
      </c>
      <c r="I22" s="49"/>
      <c r="J22" s="40">
        <v>0.033169818718317</v>
      </c>
      <c r="K22" s="40">
        <v>0.0324632704577717</v>
      </c>
      <c r="L22" s="40">
        <v>0.0317770653919309</v>
      </c>
      <c r="M22" s="40">
        <v>0.0312781483908823</v>
      </c>
      <c r="N22" s="40">
        <v>0.030848401895954</v>
      </c>
      <c r="O22" s="40">
        <v>0.0293125643982338</v>
      </c>
      <c r="P22" s="40">
        <v>0.0270350133823748</v>
      </c>
      <c r="Q22" s="40">
        <v>0.0258699820438998</v>
      </c>
      <c r="R22" s="40">
        <v>0.0250013842885731</v>
      </c>
      <c r="S22" s="40">
        <v>0.0240126479210995</v>
      </c>
      <c r="T22" s="40">
        <v>0.0239954452915789</v>
      </c>
      <c r="U22" s="40">
        <v>0.0255276476731143</v>
      </c>
      <c r="V22" s="40">
        <v>0.0241822117359893</v>
      </c>
      <c r="W22" s="40">
        <v>0.0234411773659397</v>
      </c>
      <c r="X22" s="40">
        <v>0.0226099637571583</v>
      </c>
      <c r="Y22" s="40">
        <v>0.0221124145905543</v>
      </c>
      <c r="Z22" s="40">
        <v>0.0214907911845111</v>
      </c>
      <c r="AA22" s="40">
        <v>0.0212675897898034</v>
      </c>
      <c r="AB22" s="40">
        <v>0.0200528029286751</v>
      </c>
      <c r="AC22" s="40">
        <v>0.0197221184197608</v>
      </c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51"/>
      <c r="AZ22" s="51"/>
      <c r="BA22" s="51"/>
      <c r="BB22" s="51"/>
      <c r="BC22" s="51"/>
      <c r="BD22" s="51"/>
    </row>
    <row r="23">
      <c r="D23" s="3"/>
      <c r="F23" s="4"/>
      <c r="G23" s="4"/>
      <c r="H23" s="52"/>
      <c r="J23" s="44"/>
      <c r="K23" s="44"/>
      <c r="L23" s="44"/>
      <c r="M23" s="44"/>
      <c r="N23" s="44"/>
      <c r="O23" s="34"/>
      <c r="P23" s="43"/>
      <c r="Q23" s="43"/>
      <c r="R23" s="43"/>
      <c r="S23" s="43"/>
      <c r="T23" s="43"/>
      <c r="U23" s="43"/>
      <c r="V23" s="52"/>
      <c r="X23" s="5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22">J24</f>
        <v>38623529.86</v>
      </c>
      <c r="G24" s="31">
        <f t="shared" si="22"/>
        <v>34197963.47</v>
      </c>
      <c r="H24" s="32">
        <f t="shared" ref="H24:H26" si="24">IFERROR(F24/G24-1,"-")</f>
        <v>0.1294102319</v>
      </c>
      <c r="I24" s="30"/>
      <c r="J24" s="31">
        <v>3.86235298551863E7</v>
      </c>
      <c r="K24" s="31">
        <v>3.419796347054641E7</v>
      </c>
      <c r="L24" s="31">
        <v>3.2240794619846575E7</v>
      </c>
      <c r="M24" s="31">
        <v>3.0312114705206495E7</v>
      </c>
      <c r="N24" s="31">
        <v>2.999406975251244E7</v>
      </c>
      <c r="O24" s="31">
        <v>2.9836984526864357E7</v>
      </c>
      <c r="P24" s="31">
        <v>2.7524134063032653E7</v>
      </c>
      <c r="Q24" s="31">
        <v>2.5206744172734134E7</v>
      </c>
      <c r="R24" s="31">
        <v>2.591266938271654E7</v>
      </c>
      <c r="S24" s="31">
        <v>2.3620744684947018E7</v>
      </c>
      <c r="T24" s="31">
        <v>2.188582445115063E7</v>
      </c>
      <c r="U24" s="31">
        <v>2.086653501415249E7</v>
      </c>
      <c r="V24" s="31">
        <v>2.123873593130128E7</v>
      </c>
      <c r="W24" s="31">
        <v>1.9670099927126743E7</v>
      </c>
      <c r="X24" s="31">
        <v>1.89556726819917E7</v>
      </c>
      <c r="Y24" s="31">
        <v>1.6533494636960464E7</v>
      </c>
      <c r="Z24" s="31">
        <v>1.5947205526484229E7</v>
      </c>
      <c r="AA24" s="31">
        <v>1.4898795231553998E7</v>
      </c>
      <c r="AB24" s="31">
        <v>1.4615455164612606E7</v>
      </c>
      <c r="AC24" s="31">
        <v>1.3986237459198648E7</v>
      </c>
      <c r="AD24" s="31">
        <v>1.467699127817051E7</v>
      </c>
      <c r="AE24" s="31">
        <v>1.2474365791406004E7</v>
      </c>
      <c r="AF24" s="31">
        <v>1.3073945773070551E7</v>
      </c>
      <c r="AG24" s="31">
        <v>1.3568869760912485E7</v>
      </c>
      <c r="AH24" s="31">
        <v>1.315907217650712E7</v>
      </c>
      <c r="AI24" s="31">
        <v>1.1506254812148405E7</v>
      </c>
      <c r="AJ24" s="31">
        <v>1.1050315859893378E7</v>
      </c>
      <c r="AK24" s="31">
        <v>1.082017540374135E7</v>
      </c>
      <c r="AL24" s="36">
        <v>1.0382888677873895E7</v>
      </c>
      <c r="AM24" s="36">
        <v>9610230.319375012</v>
      </c>
      <c r="AN24" s="36">
        <v>9136076.465058258</v>
      </c>
      <c r="AO24" s="36">
        <v>8774412.446641289</v>
      </c>
      <c r="AP24" s="36">
        <v>8457487.685422294</v>
      </c>
      <c r="AQ24" s="36">
        <v>8146767.636952242</v>
      </c>
      <c r="AR24" s="36">
        <v>7768942.757097765</v>
      </c>
      <c r="AS24" s="36">
        <v>7134477.813472972</v>
      </c>
      <c r="AT24" s="36">
        <v>7899756.10076441</v>
      </c>
      <c r="AU24" s="36">
        <v>6892895.094231455</v>
      </c>
      <c r="AV24" s="36">
        <v>7567013.283248132</v>
      </c>
      <c r="AW24" s="36">
        <v>6981647.970076482</v>
      </c>
      <c r="AX24" s="36">
        <v>6666181.423276654</v>
      </c>
      <c r="AY24" s="37">
        <v>6905789.121859259</v>
      </c>
      <c r="AZ24" s="37">
        <v>6510684.78895394</v>
      </c>
      <c r="BA24" s="37">
        <v>6428439.3123285</v>
      </c>
      <c r="BB24" s="37">
        <v>5630806.3080854</v>
      </c>
      <c r="BC24" s="37">
        <v>4972165.916837594</v>
      </c>
      <c r="BD24" s="37">
        <v>4392557.728534174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23">J25</f>
        <v>0.09744838615</v>
      </c>
      <c r="G25" s="40">
        <f t="shared" si="23"/>
        <v>0.0962428436</v>
      </c>
      <c r="H25" s="50">
        <f t="shared" si="24"/>
        <v>0.01252604875</v>
      </c>
      <c r="I25" s="49"/>
      <c r="J25" s="40">
        <v>0.09744838615013832</v>
      </c>
      <c r="K25" s="40">
        <v>0.09624284359970413</v>
      </c>
      <c r="L25" s="40">
        <v>0.0939367227675802</v>
      </c>
      <c r="M25" s="40">
        <v>0.09251189080866062</v>
      </c>
      <c r="N25" s="40">
        <v>0.09192545798209446</v>
      </c>
      <c r="O25" s="40">
        <v>0.09138440494370634</v>
      </c>
      <c r="P25" s="40">
        <v>0.0876024338839653</v>
      </c>
      <c r="Q25" s="40">
        <v>0.08608012036911583</v>
      </c>
      <c r="R25" s="40">
        <v>0.08182431921775926</v>
      </c>
      <c r="S25" s="40">
        <v>0.0778107546710503</v>
      </c>
      <c r="T25" s="40">
        <v>0.0764850418569989</v>
      </c>
      <c r="U25" s="40">
        <v>0.06973485455524117</v>
      </c>
      <c r="V25" s="40">
        <v>0.07071686565042068</v>
      </c>
      <c r="W25" s="40">
        <v>0.06967999928515912</v>
      </c>
      <c r="X25" s="40">
        <v>0.06967723914367689</v>
      </c>
      <c r="Y25" s="40">
        <v>0.06571641327942473</v>
      </c>
      <c r="Z25" s="40">
        <v>0.06405704268159258</v>
      </c>
      <c r="AA25" s="40">
        <v>0.06084527317664647</v>
      </c>
      <c r="AB25" s="40">
        <v>0.060187061437327355</v>
      </c>
      <c r="AC25" s="40">
        <v>0.05952716722154518</v>
      </c>
      <c r="AD25" s="40">
        <v>0.05628040274280778</v>
      </c>
      <c r="AE25" s="40">
        <v>0.05465296997888799</v>
      </c>
      <c r="AF25" s="40">
        <v>0.05340391709711708</v>
      </c>
      <c r="AG25" s="40">
        <v>0.05516360085418284</v>
      </c>
      <c r="AH25" s="40">
        <v>0.05372056534795029</v>
      </c>
      <c r="AI25" s="40">
        <v>0.05175383154789174</v>
      </c>
      <c r="AJ25" s="40">
        <v>0.05207544809582797</v>
      </c>
      <c r="AK25" s="40">
        <v>0.052615905642445594</v>
      </c>
      <c r="AL25" s="40">
        <v>0.05273557639531564</v>
      </c>
      <c r="AM25" s="40">
        <v>0.051538231102507125</v>
      </c>
      <c r="AN25" s="40">
        <v>0.049882189856887346</v>
      </c>
      <c r="AO25" s="40">
        <v>0.0474108137845746</v>
      </c>
      <c r="AP25" s="40">
        <v>0.04564096860708565</v>
      </c>
      <c r="AQ25" s="40">
        <v>0.044874601430486764</v>
      </c>
      <c r="AR25" s="40">
        <v>0.04530999317487147</v>
      </c>
      <c r="AS25" s="40">
        <v>0.03870485723308946</v>
      </c>
      <c r="AT25" s="40">
        <v>0.04223381951690904</v>
      </c>
      <c r="AU25" s="40">
        <v>0.039691593956672995</v>
      </c>
      <c r="AV25" s="40">
        <v>0.03977480049576655</v>
      </c>
      <c r="AW25" s="40">
        <v>0.03677976737512833</v>
      </c>
      <c r="AX25" s="40">
        <v>0.03517521807149433</v>
      </c>
      <c r="AY25" s="51">
        <v>0.1216821381868328</v>
      </c>
      <c r="AZ25" s="51">
        <v>0.12978238062879038</v>
      </c>
      <c r="BA25" s="51">
        <v>0.09195632148816991</v>
      </c>
      <c r="BB25" s="51">
        <v>0.10376017780292413</v>
      </c>
      <c r="BC25" s="51">
        <v>0.10052991259807903</v>
      </c>
      <c r="BD25" s="51">
        <v>0.09046907873854972</v>
      </c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5">J26</f>
        <v>79639423.49</v>
      </c>
      <c r="G26" s="31">
        <f t="shared" si="25"/>
        <v>70171227.39</v>
      </c>
      <c r="H26" s="32">
        <f t="shared" si="24"/>
        <v>0.1349298915</v>
      </c>
      <c r="I26" s="30"/>
      <c r="J26" s="31">
        <v>7.963942349316928E7</v>
      </c>
      <c r="K26" s="31">
        <v>7.017122739444391E7</v>
      </c>
      <c r="L26" s="31">
        <v>6.577423487066518E7</v>
      </c>
      <c r="M26" s="31">
        <v>6.15703317117067E7</v>
      </c>
      <c r="N26" s="31">
        <v>6.116665983024599E7</v>
      </c>
      <c r="O26" s="31">
        <v>6.255827907108974E7</v>
      </c>
      <c r="P26" s="31">
        <v>5.3616053252974056E7</v>
      </c>
      <c r="Q26" s="31">
        <v>4.6348824896359056E7</v>
      </c>
      <c r="R26" s="31">
        <v>5.4238370596104324E7</v>
      </c>
      <c r="S26" s="31">
        <v>4.539336377315555E7</v>
      </c>
      <c r="T26" s="31">
        <v>4.272218568987202E7</v>
      </c>
      <c r="U26" s="31">
        <v>4.867848308271734E7</v>
      </c>
      <c r="V26" s="31">
        <v>4.619766637977573E7</v>
      </c>
      <c r="W26" s="31">
        <v>4.215085103987292E7</v>
      </c>
      <c r="X26" s="31">
        <v>4.1734106723609015E7</v>
      </c>
      <c r="Y26" s="31">
        <v>3.6631316527962334E7</v>
      </c>
      <c r="Z26" s="31">
        <v>3.443648232981105E7</v>
      </c>
      <c r="AA26" s="31">
        <v>3.32808456631093E7</v>
      </c>
      <c r="AB26" s="31">
        <v>3.0934074569625933E7</v>
      </c>
      <c r="AC26" s="31">
        <v>3.0115926113220405E7</v>
      </c>
      <c r="AD26" s="31">
        <v>3.809145979639884E7</v>
      </c>
      <c r="AE26" s="31">
        <v>2.876421699146696E7</v>
      </c>
      <c r="AF26" s="31">
        <v>2.953593649931567E7</v>
      </c>
      <c r="AG26" s="31">
        <v>3.0596451484922968E7</v>
      </c>
      <c r="AH26" s="31">
        <v>3.201431512925382E7</v>
      </c>
      <c r="AI26" s="31">
        <v>3.136943865276454E7</v>
      </c>
      <c r="AJ26" s="31">
        <v>2.975899085090495E7</v>
      </c>
      <c r="AK26" s="31">
        <v>2.856050213867452E7</v>
      </c>
      <c r="AL26" s="36">
        <v>2.5647878948335633E7</v>
      </c>
      <c r="AM26" s="36">
        <v>1.919977678042851E7</v>
      </c>
      <c r="AN26" s="36">
        <v>1.5328618424887223E7</v>
      </c>
      <c r="AO26" s="36">
        <v>1.518119293320378E7</v>
      </c>
      <c r="AP26" s="36">
        <v>1.5127718711596532E7</v>
      </c>
      <c r="AQ26" s="36">
        <v>1.2002624649620326E7</v>
      </c>
      <c r="AR26" s="36">
        <v>1.0417607900122339E7</v>
      </c>
      <c r="AS26" s="36">
        <v>1.1504730292323101E7</v>
      </c>
      <c r="AT26" s="36">
        <v>1.1812326503555994E7</v>
      </c>
      <c r="AU26" s="36">
        <v>1.1252464863967452E7</v>
      </c>
      <c r="AV26" s="36">
        <v>1.4534830059492067E7</v>
      </c>
      <c r="AW26" s="36">
        <v>1.5864418061328497E7</v>
      </c>
      <c r="AX26" s="36">
        <v>1.694304872039236E7</v>
      </c>
      <c r="AY26" s="37">
        <v>1.6887591855637405E7</v>
      </c>
      <c r="AZ26" s="37">
        <v>1.4875808898014536E7</v>
      </c>
      <c r="BA26" s="37">
        <v>1.8357623762993973E7</v>
      </c>
      <c r="BB26" s="37">
        <v>1.6584802377146438E7</v>
      </c>
      <c r="BC26" s="37">
        <v>1.3621659911393287E7</v>
      </c>
      <c r="BD26" s="37">
        <v>1.2897283425970925E7</v>
      </c>
    </row>
    <row r="27">
      <c r="D27" s="3"/>
      <c r="F27" s="4"/>
      <c r="G27" s="4"/>
      <c r="H27" s="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Z27" s="54"/>
      <c r="AA27" s="54"/>
      <c r="AB27" s="54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</row>
    <row r="29">
      <c r="A29" s="26"/>
      <c r="B29" s="27"/>
      <c r="C29" s="28" t="s">
        <v>27</v>
      </c>
      <c r="D29" s="39"/>
      <c r="E29" s="30"/>
      <c r="F29" s="55">
        <f t="shared" ref="F29:G29" si="26">J29</f>
        <v>1</v>
      </c>
      <c r="G29" s="55">
        <f t="shared" si="26"/>
        <v>1</v>
      </c>
      <c r="H29" s="56">
        <f t="shared" ref="H29:H37" si="28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/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7">J30</f>
        <v>0.400393987</v>
      </c>
      <c r="G30" s="55">
        <f t="shared" si="27"/>
        <v>0.401861043</v>
      </c>
      <c r="H30" s="32">
        <f t="shared" si="28"/>
        <v>-0.00365065493</v>
      </c>
      <c r="I30" s="30"/>
      <c r="J30" s="40">
        <v>0.4003939869587886</v>
      </c>
      <c r="K30" s="40">
        <v>0.4018610429564715</v>
      </c>
      <c r="L30" s="40">
        <v>0.3999381319413733</v>
      </c>
      <c r="M30" s="40">
        <v>0.4041198689129924</v>
      </c>
      <c r="N30" s="40">
        <v>0.4052534072734222</v>
      </c>
      <c r="O30" s="40">
        <v>0.3971624890967832</v>
      </c>
      <c r="P30" s="40">
        <v>0.4035598708994287</v>
      </c>
      <c r="Q30" s="40">
        <v>0.40790435231305944</v>
      </c>
      <c r="R30" s="40">
        <v>0.3974716524403779</v>
      </c>
      <c r="S30" s="40">
        <v>0.3973081970799815</v>
      </c>
      <c r="T30" s="40">
        <v>0.39588730559939966</v>
      </c>
      <c r="U30" s="40">
        <v>0.39027438941756026</v>
      </c>
      <c r="V30" s="40">
        <v>0.38663355988427295</v>
      </c>
      <c r="W30" s="40">
        <v>0.38208038804951044</v>
      </c>
      <c r="X30" s="31">
        <v>0.38012595552894407</v>
      </c>
      <c r="Y30" s="31">
        <v>0.37699121212303555</v>
      </c>
      <c r="Z30" s="31">
        <v>0.37879158414427366</v>
      </c>
      <c r="AA30" s="31">
        <v>0.3744079184870792</v>
      </c>
      <c r="AB30" s="31">
        <v>0.37141490937868676</v>
      </c>
      <c r="AC30" s="31">
        <v>0.3770070142849026</v>
      </c>
      <c r="AD30" s="31">
        <v>0.35927647589789025</v>
      </c>
      <c r="AE30" s="31">
        <v>0.3584709189815545</v>
      </c>
      <c r="AF30" s="31">
        <v>0.35293305578324313</v>
      </c>
      <c r="AG30" s="31">
        <v>0.33962323870099137</v>
      </c>
      <c r="AH30" s="31">
        <v>0.3329478998870615</v>
      </c>
      <c r="AI30" s="31">
        <v>0.33947635109530006</v>
      </c>
      <c r="AJ30" s="31">
        <v>0.34331106776394</v>
      </c>
      <c r="AK30" s="31">
        <v>0.33731394000338694</v>
      </c>
      <c r="AL30" s="31">
        <v>0.3461848823658678</v>
      </c>
      <c r="AM30" s="31">
        <v>0.3603417274293179</v>
      </c>
      <c r="AN30" s="31">
        <v>0.3602325385847121</v>
      </c>
      <c r="AO30" s="31">
        <v>0.35281022889033936</v>
      </c>
      <c r="AP30" s="31">
        <v>0.34816528605896113</v>
      </c>
      <c r="AQ30" s="31">
        <v>0.34873056096605737</v>
      </c>
      <c r="AR30" s="31">
        <v>0.33895621417342364</v>
      </c>
      <c r="AS30" s="31"/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9">J31</f>
        <v>0.09840138546</v>
      </c>
      <c r="G31" s="55">
        <f t="shared" si="29"/>
        <v>0.09618849127</v>
      </c>
      <c r="H31" s="32">
        <f t="shared" si="28"/>
        <v>0.02300581034</v>
      </c>
      <c r="I31" s="30"/>
      <c r="J31" s="40">
        <v>0.09840138545503051</v>
      </c>
      <c r="K31" s="40">
        <v>0.09618849126799714</v>
      </c>
      <c r="L31" s="40">
        <v>0.09420330297004514</v>
      </c>
      <c r="M31" s="40">
        <v>0.09400792981218963</v>
      </c>
      <c r="N31" s="40">
        <v>0.09161047695263072</v>
      </c>
      <c r="O31" s="40">
        <v>0.08387249789185267</v>
      </c>
      <c r="P31" s="40">
        <v>0.0812643137209726</v>
      </c>
      <c r="Q31" s="40">
        <v>0.07738182276161608</v>
      </c>
      <c r="R31" s="40">
        <v>0.07840615407743316</v>
      </c>
      <c r="S31" s="40">
        <v>0.06970793593699923</v>
      </c>
      <c r="T31" s="40">
        <v>0.06846191450103076</v>
      </c>
      <c r="U31" s="40">
        <v>0.06684652265965031</v>
      </c>
      <c r="V31" s="40">
        <v>0.06534151091753584</v>
      </c>
      <c r="W31" s="40">
        <v>0.06475381214111933</v>
      </c>
      <c r="X31" s="31">
        <v>0.06368798061101144</v>
      </c>
      <c r="Y31" s="31">
        <v>0.05981533772716667</v>
      </c>
      <c r="Z31" s="31">
        <v>0.06016585644502946</v>
      </c>
      <c r="AA31" s="31">
        <v>0.058757062197327084</v>
      </c>
      <c r="AB31" s="31">
        <v>0.059647696296336934</v>
      </c>
      <c r="AC31" s="31">
        <v>0.05870264001945359</v>
      </c>
      <c r="AD31" s="31">
        <v>0.05754000371527668</v>
      </c>
      <c r="AE31" s="31">
        <v>0.053957685351929865</v>
      </c>
      <c r="AF31" s="31">
        <v>0.05307075298694012</v>
      </c>
      <c r="AG31" s="31">
        <v>0.05789965372124782</v>
      </c>
      <c r="AH31" s="31">
        <v>0.0579452270716728</v>
      </c>
      <c r="AI31" s="31">
        <v>0.05325107100990243</v>
      </c>
      <c r="AJ31" s="31">
        <v>0.047988045357314116</v>
      </c>
      <c r="AK31" s="31">
        <v>0.047196664602941425</v>
      </c>
      <c r="AL31" s="31">
        <v>0.045308878288550576</v>
      </c>
      <c r="AM31" s="31">
        <v>0.042092236321023754</v>
      </c>
      <c r="AN31" s="31">
        <v>0.041053946095424995</v>
      </c>
      <c r="AO31" s="31">
        <v>0.04386575984247153</v>
      </c>
      <c r="AP31" s="31">
        <v>0.04221753596460373</v>
      </c>
      <c r="AQ31" s="31">
        <v>0.03862385787946161</v>
      </c>
      <c r="AR31" s="31">
        <v>0.03901048058841514</v>
      </c>
      <c r="AS31" s="31"/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30">J32</f>
        <v>0.1062793081</v>
      </c>
      <c r="G32" s="55">
        <f t="shared" si="30"/>
        <v>0.1116763936</v>
      </c>
      <c r="H32" s="32">
        <f t="shared" si="28"/>
        <v>-0.04832789958</v>
      </c>
      <c r="I32" s="30"/>
      <c r="J32" s="40">
        <v>0.10627930806948867</v>
      </c>
      <c r="K32" s="40">
        <v>0.11167639360540367</v>
      </c>
      <c r="L32" s="40">
        <v>0.10891372570399688</v>
      </c>
      <c r="M32" s="40">
        <v>0.1101136006871853</v>
      </c>
      <c r="N32" s="40">
        <v>0.11005968029014347</v>
      </c>
      <c r="O32" s="40">
        <v>0.11235438996638016</v>
      </c>
      <c r="P32" s="40">
        <v>0.11773598738152669</v>
      </c>
      <c r="Q32" s="40">
        <v>0.12095070513703121</v>
      </c>
      <c r="R32" s="40">
        <v>0.12038983826654352</v>
      </c>
      <c r="S32" s="40">
        <v>0.12242064148801422</v>
      </c>
      <c r="T32" s="40">
        <v>0.1267639255263236</v>
      </c>
      <c r="U32" s="40">
        <v>0.1256558563804419</v>
      </c>
      <c r="V32" s="40">
        <v>0.12653312731522312</v>
      </c>
      <c r="W32" s="40">
        <v>0.13400650000064987</v>
      </c>
      <c r="X32" s="31">
        <v>0.13369049203867164</v>
      </c>
      <c r="Y32" s="31">
        <v>0.1355138736617301</v>
      </c>
      <c r="Z32" s="31">
        <v>0.1306552170958535</v>
      </c>
      <c r="AA32" s="31">
        <v>0.1329210315066226</v>
      </c>
      <c r="AB32" s="31">
        <v>0.13777818755725363</v>
      </c>
      <c r="AC32" s="31">
        <v>0.14455910396225582</v>
      </c>
      <c r="AD32" s="31">
        <v>0.14656101882365805</v>
      </c>
      <c r="AE32" s="31">
        <v>0.1548483029427893</v>
      </c>
      <c r="AF32" s="31">
        <v>0.16231076299736039</v>
      </c>
      <c r="AG32" s="31">
        <v>0.1599295988551205</v>
      </c>
      <c r="AH32" s="31">
        <v>0.15875417117170817</v>
      </c>
      <c r="AI32" s="31">
        <v>0.15581736567850263</v>
      </c>
      <c r="AJ32" s="31">
        <v>0.15640555479543836</v>
      </c>
      <c r="AK32" s="31">
        <v>0.15667585642005608</v>
      </c>
      <c r="AL32" s="31">
        <v>0.16143074186990594</v>
      </c>
      <c r="AM32" s="31">
        <v>0.16488905088587832</v>
      </c>
      <c r="AN32" s="31">
        <v>0.1598529755026263</v>
      </c>
      <c r="AO32" s="31">
        <v>0.16276401005747881</v>
      </c>
      <c r="AP32" s="31">
        <v>0.16106326210918934</v>
      </c>
      <c r="AQ32" s="31">
        <v>0.15867594623639594</v>
      </c>
      <c r="AR32" s="31">
        <v>0.16462781346772531</v>
      </c>
      <c r="AS32" s="31"/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31">J33</f>
        <v>0.04841122781</v>
      </c>
      <c r="G33" s="55">
        <f t="shared" si="31"/>
        <v>0.04817769275</v>
      </c>
      <c r="H33" s="32">
        <f t="shared" si="28"/>
        <v>0.004847369201</v>
      </c>
      <c r="I33" s="30"/>
      <c r="J33" s="40">
        <v>0.048411227812765266</v>
      </c>
      <c r="K33" s="40">
        <v>0.04817769274873736</v>
      </c>
      <c r="L33" s="40">
        <v>0.048429278894015666</v>
      </c>
      <c r="M33" s="40">
        <v>0.0441395291047681</v>
      </c>
      <c r="N33" s="40">
        <v>0.044627642313706424</v>
      </c>
      <c r="O33" s="40">
        <v>0.04876560634985224</v>
      </c>
      <c r="P33" s="40">
        <v>0.04655019045693317</v>
      </c>
      <c r="Q33" s="40">
        <v>0.04587620390336809</v>
      </c>
      <c r="R33" s="40">
        <v>0.04614434746164266</v>
      </c>
      <c r="S33" s="40">
        <v>0.045800350280129694</v>
      </c>
      <c r="T33" s="40">
        <v>0.04440387283501225</v>
      </c>
      <c r="U33" s="40">
        <v>0.04471216772284934</v>
      </c>
      <c r="V33" s="40">
        <v>0.04460894593674903</v>
      </c>
      <c r="W33" s="40">
        <v>0.043433879471529394</v>
      </c>
      <c r="X33" s="31">
        <v>0.04401006860462881</v>
      </c>
      <c r="Y33" s="31">
        <v>0.04272602236891195</v>
      </c>
      <c r="Z33" s="31">
        <v>0.043168052147328335</v>
      </c>
      <c r="AA33" s="31">
        <v>0.04464624692465868</v>
      </c>
      <c r="AB33" s="31">
        <v>0.044783237824024144</v>
      </c>
      <c r="AC33" s="31">
        <v>0.04211400591660689</v>
      </c>
      <c r="AD33" s="31">
        <v>0.040491322001294586</v>
      </c>
      <c r="AE33" s="31">
        <v>0.044430934436402385</v>
      </c>
      <c r="AF33" s="31">
        <v>0.042228431166316624</v>
      </c>
      <c r="AG33" s="31">
        <v>0.04067570225066171</v>
      </c>
      <c r="AH33" s="31">
        <v>0.04331099649463674</v>
      </c>
      <c r="AI33" s="31">
        <v>0.04225772282265683</v>
      </c>
      <c r="AJ33" s="31">
        <v>0.040977271634660584</v>
      </c>
      <c r="AK33" s="31">
        <v>0.04452501572972148</v>
      </c>
      <c r="AL33" s="31">
        <v>0.04446450826173965</v>
      </c>
      <c r="AM33" s="31">
        <v>0.043618223050621074</v>
      </c>
      <c r="AN33" s="31">
        <v>0.04384340971491713</v>
      </c>
      <c r="AO33" s="31">
        <v>0.04108510861416548</v>
      </c>
      <c r="AP33" s="31">
        <v>0.03929629471632936</v>
      </c>
      <c r="AQ33" s="31">
        <v>0.03974005238215287</v>
      </c>
      <c r="AR33" s="31">
        <v>0.040387832388491605</v>
      </c>
      <c r="AS33" s="31"/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32">J34</f>
        <v>0.09971445349</v>
      </c>
      <c r="G34" s="55">
        <f t="shared" si="32"/>
        <v>0.1014481704</v>
      </c>
      <c r="H34" s="32">
        <f t="shared" si="28"/>
        <v>-0.01708968161</v>
      </c>
      <c r="I34" s="30"/>
      <c r="J34" s="40">
        <v>0.09971445348925319</v>
      </c>
      <c r="K34" s="40">
        <v>0.10144817042174673</v>
      </c>
      <c r="L34" s="40">
        <v>0.1052574624307678</v>
      </c>
      <c r="M34" s="40">
        <v>0.11041439360236109</v>
      </c>
      <c r="N34" s="40">
        <v>0.11457103485242665</v>
      </c>
      <c r="O34" s="40">
        <v>0.11680968986673156</v>
      </c>
      <c r="P34" s="40">
        <v>0.1182507613347619</v>
      </c>
      <c r="Q34" s="40">
        <v>0.11989967464674263</v>
      </c>
      <c r="R34" s="40">
        <v>0.12069838649932078</v>
      </c>
      <c r="S34" s="40">
        <v>0.12202821702158621</v>
      </c>
      <c r="T34" s="40">
        <v>0.12093452651023037</v>
      </c>
      <c r="U34" s="40">
        <v>0.1233579246641904</v>
      </c>
      <c r="V34" s="40">
        <v>0.12309064723944184</v>
      </c>
      <c r="W34" s="40">
        <v>0.12435690223332764</v>
      </c>
      <c r="X34" s="31">
        <v>0.12342561915814863</v>
      </c>
      <c r="Y34" s="31">
        <v>0.12533317713633046</v>
      </c>
      <c r="Z34" s="31">
        <v>0.1298385697449458</v>
      </c>
      <c r="AA34" s="31">
        <v>0.13309463203163321</v>
      </c>
      <c r="AB34" s="31">
        <v>0.13501487879086996</v>
      </c>
      <c r="AC34" s="31">
        <v>0.13110092952882232</v>
      </c>
      <c r="AD34" s="31">
        <v>0.13127086352825199</v>
      </c>
      <c r="AE34" s="31">
        <v>0.13725634747122</v>
      </c>
      <c r="AF34" s="31">
        <v>0.14453007153279354</v>
      </c>
      <c r="AG34" s="31">
        <v>0.1428828572855303</v>
      </c>
      <c r="AH34" s="31">
        <v>0.14532764813284024</v>
      </c>
      <c r="AI34" s="31">
        <v>0.14504467912067703</v>
      </c>
      <c r="AJ34" s="31">
        <v>0.13944019366733845</v>
      </c>
      <c r="AK34" s="31">
        <v>0.14270722984238524</v>
      </c>
      <c r="AL34" s="31">
        <v>0.15086522813842207</v>
      </c>
      <c r="AM34" s="31">
        <v>0.16127158820691057</v>
      </c>
      <c r="AN34" s="31">
        <v>0.16676764078195822</v>
      </c>
      <c r="AO34" s="31">
        <v>0.1653941483053526</v>
      </c>
      <c r="AP34" s="31">
        <v>0.16529080982799882</v>
      </c>
      <c r="AQ34" s="31">
        <v>0.16830033574189818</v>
      </c>
      <c r="AR34" s="31">
        <v>0.17001210696913527</v>
      </c>
      <c r="AS34" s="31"/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33">J35</f>
        <v>0.04474338646</v>
      </c>
      <c r="G35" s="55">
        <f t="shared" si="33"/>
        <v>0.04234045002</v>
      </c>
      <c r="H35" s="32">
        <f t="shared" si="28"/>
        <v>0.05675273744</v>
      </c>
      <c r="I35" s="30"/>
      <c r="J35" s="40">
        <v>0.04474338646178331</v>
      </c>
      <c r="K35" s="40">
        <v>0.042340450018819024</v>
      </c>
      <c r="L35" s="40">
        <v>0.040711971843146025</v>
      </c>
      <c r="M35" s="40">
        <v>0.037848821411037015</v>
      </c>
      <c r="N35" s="40">
        <v>0.03720617657001775</v>
      </c>
      <c r="O35" s="40">
        <v>0.03806471749173354</v>
      </c>
      <c r="P35" s="40">
        <v>0.03878978782824149</v>
      </c>
      <c r="Q35" s="40">
        <v>0.03774841682101088</v>
      </c>
      <c r="R35" s="40">
        <v>0.046196353062770805</v>
      </c>
      <c r="S35" s="40">
        <v>0.04585978094203112</v>
      </c>
      <c r="T35" s="40">
        <v>0.04728914071124293</v>
      </c>
      <c r="U35" s="40">
        <v>0.0538342677641263</v>
      </c>
      <c r="V35" s="40">
        <v>0.05352013818198482</v>
      </c>
      <c r="W35" s="40">
        <v>0.05225937149441617</v>
      </c>
      <c r="X35" s="31">
        <v>0.05510645950222641</v>
      </c>
      <c r="Y35" s="31">
        <v>0.055488203551353026</v>
      </c>
      <c r="Z35" s="31">
        <v>0.05563286983724335</v>
      </c>
      <c r="AA35" s="31">
        <v>0.05608543441092569</v>
      </c>
      <c r="AB35" s="31">
        <v>0.05280785255269897</v>
      </c>
      <c r="AC35" s="31">
        <v>0.046804100392538024</v>
      </c>
      <c r="AD35" s="31">
        <v>0.05828683818128697</v>
      </c>
      <c r="AE35" s="31">
        <v>0.05744182734152661</v>
      </c>
      <c r="AF35" s="31">
        <v>0.05307483905231775</v>
      </c>
      <c r="AG35" s="31">
        <v>0.06415183792981721</v>
      </c>
      <c r="AH35" s="31">
        <v>0.06758033637659408</v>
      </c>
      <c r="AI35" s="31">
        <v>0.07289686911945499</v>
      </c>
      <c r="AJ35" s="31">
        <v>0.07163244542480411</v>
      </c>
      <c r="AK35" s="31">
        <v>0.07376879624331507</v>
      </c>
      <c r="AL35" s="31">
        <v>0.0483409190275448</v>
      </c>
      <c r="AM35" s="31">
        <v>0.010198689151061622</v>
      </c>
      <c r="AN35" s="31">
        <v>0.010247783298287919</v>
      </c>
      <c r="AO35" s="31">
        <v>0.010178000402743935</v>
      </c>
      <c r="AP35" s="31">
        <v>0.011174395733880366</v>
      </c>
      <c r="AQ35" s="31">
        <v>0.009483252385519152</v>
      </c>
      <c r="AR35" s="31">
        <v>0.008084718090602022</v>
      </c>
      <c r="AS35" s="31"/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4">J36</f>
        <v>0.08232885981</v>
      </c>
      <c r="G36" s="55">
        <f t="shared" si="34"/>
        <v>0.07481457314</v>
      </c>
      <c r="H36" s="32">
        <f t="shared" si="28"/>
        <v>0.1004388096</v>
      </c>
      <c r="I36" s="30"/>
      <c r="J36" s="40">
        <v>0.0823288598106796</v>
      </c>
      <c r="K36" s="40">
        <v>0.07481457314199272</v>
      </c>
      <c r="L36" s="40">
        <v>0.0664561367096892</v>
      </c>
      <c r="M36" s="40">
        <v>0.08367269740469888</v>
      </c>
      <c r="N36" s="40">
        <v>0.07314669781018836</v>
      </c>
      <c r="O36" s="40">
        <v>0.0701066197699001</v>
      </c>
      <c r="P36" s="40">
        <v>0.06073890833300224</v>
      </c>
      <c r="Q36" s="40">
        <v>0.05322241822296109</v>
      </c>
      <c r="R36" s="40">
        <v>0.05437185356711011</v>
      </c>
      <c r="S36" s="40">
        <v>0.04382527147076754</v>
      </c>
      <c r="T36" s="40">
        <v>0.041924735856877865</v>
      </c>
      <c r="U36" s="40">
        <v>0.044308784053099834</v>
      </c>
      <c r="V36" s="40">
        <v>0.03948491419164583</v>
      </c>
      <c r="W36" s="40">
        <v>0.03947786812397066</v>
      </c>
      <c r="X36" s="31">
        <v>0.039695945012845735</v>
      </c>
      <c r="Y36" s="31">
        <v>0.03879486603615877</v>
      </c>
      <c r="Z36" s="31">
        <v>0.04026254434720117</v>
      </c>
      <c r="AA36" s="31">
        <v>0.04343919166615398</v>
      </c>
      <c r="AB36" s="31">
        <v>0.04203753844105441</v>
      </c>
      <c r="AC36" s="31">
        <v>0.045218913974969514</v>
      </c>
      <c r="AD36" s="31">
        <v>0.05054015454977305</v>
      </c>
      <c r="AE36" s="31">
        <v>0.021299504344785856</v>
      </c>
      <c r="AF36" s="31">
        <v>0.016949069842678233</v>
      </c>
      <c r="AG36" s="31">
        <v>0.021082047462235465</v>
      </c>
      <c r="AH36" s="31">
        <v>0.010216999603191813</v>
      </c>
      <c r="AI36" s="31">
        <v>0.006055453423246796</v>
      </c>
      <c r="AJ36" s="31">
        <v>0.004793212111921447</v>
      </c>
      <c r="AK36" s="31">
        <v>0.003950425391918959</v>
      </c>
      <c r="AL36" s="31">
        <v>0.004055535006624561</v>
      </c>
      <c r="AM36" s="31">
        <v>0.003790335543693474</v>
      </c>
      <c r="AN36" s="31">
        <v>0.003278945057807157</v>
      </c>
      <c r="AO36" s="31">
        <v>0.003756191741426865</v>
      </c>
      <c r="AP36" s="31">
        <v>0.0025071023170792944</v>
      </c>
      <c r="AQ36" s="31">
        <v>0.001698106783417262</v>
      </c>
      <c r="AR36" s="31">
        <v>0.0013459846388278805</v>
      </c>
      <c r="AS36" s="31"/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5">J37</f>
        <v>0.1197273919</v>
      </c>
      <c r="G37" s="55">
        <f t="shared" si="35"/>
        <v>0.1234931858</v>
      </c>
      <c r="H37" s="56">
        <f t="shared" si="28"/>
        <v>-0.03049394079</v>
      </c>
      <c r="I37" s="30"/>
      <c r="J37" s="40">
        <v>0.11972739194221095</v>
      </c>
      <c r="K37" s="40">
        <v>0.12349318583883181</v>
      </c>
      <c r="L37" s="40">
        <v>0.13608998950696585</v>
      </c>
      <c r="M37" s="40">
        <v>0.11568315906476764</v>
      </c>
      <c r="N37" s="40">
        <v>0.1235248839374645</v>
      </c>
      <c r="O37" s="40">
        <v>0.1328639895667667</v>
      </c>
      <c r="P37" s="40">
        <v>0.1331101800451332</v>
      </c>
      <c r="Q37" s="40">
        <v>0.1370164061942106</v>
      </c>
      <c r="R37" s="40">
        <v>0.1363214146248012</v>
      </c>
      <c r="S37" s="40">
        <v>0.15304960578049037</v>
      </c>
      <c r="T37" s="40">
        <v>0.15433457845988247</v>
      </c>
      <c r="U37" s="40">
        <v>0.15101008733808177</v>
      </c>
      <c r="V37" s="40">
        <v>0.16078715633314652</v>
      </c>
      <c r="W37" s="40">
        <v>0.15963127848547642</v>
      </c>
      <c r="X37" s="31">
        <v>0.1602574795435233</v>
      </c>
      <c r="Y37" s="31">
        <v>0.1653373073953134</v>
      </c>
      <c r="Z37" s="31">
        <v>0.16148530623812488</v>
      </c>
      <c r="AA37" s="31">
        <v>0.1566484827755996</v>
      </c>
      <c r="AB37" s="31">
        <v>0.15651569915907498</v>
      </c>
      <c r="AC37" s="31">
        <v>0.1544932919204512</v>
      </c>
      <c r="AD37" s="31">
        <v>0.15603332330256842</v>
      </c>
      <c r="AE37" s="31">
        <v>0.17229447912979157</v>
      </c>
      <c r="AF37" s="31">
        <v>0.17490301663835026</v>
      </c>
      <c r="AG37" s="31">
        <v>0.17375506379439593</v>
      </c>
      <c r="AH37" s="31">
        <v>0.18391672126229475</v>
      </c>
      <c r="AI37" s="31">
        <v>0.1852004877302594</v>
      </c>
      <c r="AJ37" s="31">
        <v>0.19545220924458295</v>
      </c>
      <c r="AK37" s="31">
        <v>0.1938620717662748</v>
      </c>
      <c r="AL37" s="31">
        <v>0.19934930704134446</v>
      </c>
      <c r="AM37" s="31">
        <v>0.21379814941149292</v>
      </c>
      <c r="AN37" s="31">
        <v>0.214722760964266</v>
      </c>
      <c r="AO37" s="31">
        <v>0.2201465521460216</v>
      </c>
      <c r="AP37" s="31">
        <v>0.23028531327195786</v>
      </c>
      <c r="AQ37" s="31">
        <v>0.2347478876250977</v>
      </c>
      <c r="AR37" s="31">
        <v>0.23791557420027862</v>
      </c>
      <c r="AS37" s="31"/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6">J40</f>
        <v>1</v>
      </c>
      <c r="G40" s="55">
        <f t="shared" si="36"/>
        <v>1</v>
      </c>
      <c r="H40" s="32">
        <f t="shared" ref="H40:H48" si="38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>
        <v>1.0</v>
      </c>
      <c r="AO40" s="31">
        <v>1.0</v>
      </c>
      <c r="AP40" s="31">
        <v>1.0</v>
      </c>
      <c r="AQ40" s="31">
        <v>1.0</v>
      </c>
      <c r="AR40" s="31">
        <v>1.0</v>
      </c>
      <c r="AS40" s="31"/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7">J41</f>
        <v>0.5327457517</v>
      </c>
      <c r="G41" s="55">
        <f t="shared" si="37"/>
        <v>0.5538110106</v>
      </c>
      <c r="H41" s="32">
        <f t="shared" si="38"/>
        <v>-0.03803690877</v>
      </c>
      <c r="I41" s="30"/>
      <c r="J41" s="40">
        <v>0.5327457517400669</v>
      </c>
      <c r="K41" s="40">
        <v>0.553811010629071</v>
      </c>
      <c r="L41" s="40">
        <v>0.5539196413210323</v>
      </c>
      <c r="M41" s="40">
        <v>0.5761158573519054</v>
      </c>
      <c r="N41" s="40">
        <v>0.5833977532976983</v>
      </c>
      <c r="O41" s="40">
        <v>0.5937524520200381</v>
      </c>
      <c r="P41" s="40">
        <v>0.6015099089874174</v>
      </c>
      <c r="Q41" s="40">
        <v>0.599912863649131</v>
      </c>
      <c r="R41" s="40">
        <v>0.5751365571840122</v>
      </c>
      <c r="S41" s="40">
        <v>0.5873391619119901</v>
      </c>
      <c r="T41" s="40">
        <v>0.5715656149330502</v>
      </c>
      <c r="U41" s="40">
        <v>0.573208785038383</v>
      </c>
      <c r="V41" s="40">
        <v>0.5738129028843109</v>
      </c>
      <c r="W41" s="40">
        <v>0.5926676713373482</v>
      </c>
      <c r="X41" s="31">
        <v>0.6020191629748115</v>
      </c>
      <c r="Y41" s="31">
        <v>0.5936570723407573</v>
      </c>
      <c r="Z41" s="31">
        <v>0.5943093951684587</v>
      </c>
      <c r="AA41" s="31">
        <v>0.6014410927003244</v>
      </c>
      <c r="AB41" s="31">
        <v>0.6058315612607089</v>
      </c>
      <c r="AC41" s="31">
        <v>0.6095126020269737</v>
      </c>
      <c r="AD41" s="31">
        <v>0.6285295060397837</v>
      </c>
      <c r="AE41" s="31">
        <v>0.6312364816863618</v>
      </c>
      <c r="AF41" s="31">
        <v>0.6267698232211624</v>
      </c>
      <c r="AG41" s="31">
        <v>0.6150199442448218</v>
      </c>
      <c r="AH41" s="31">
        <v>0.6119266922435492</v>
      </c>
      <c r="AI41" s="31">
        <v>0.618662918942406</v>
      </c>
      <c r="AJ41" s="31">
        <v>0.6135965502514591</v>
      </c>
      <c r="AK41" s="31">
        <v>0.6216049913180123</v>
      </c>
      <c r="AL41" s="31">
        <v>0.6314779890488229</v>
      </c>
      <c r="AM41" s="31">
        <v>0.6393920886278613</v>
      </c>
      <c r="AN41" s="31">
        <v>0.6556662364303425</v>
      </c>
      <c r="AO41" s="31">
        <v>0.6488404135148225</v>
      </c>
      <c r="AP41" s="31">
        <v>0.6500355155049775</v>
      </c>
      <c r="AQ41" s="31">
        <v>0.6453701233800702</v>
      </c>
      <c r="AR41" s="31">
        <v>0.646123901265124</v>
      </c>
      <c r="AS41" s="31"/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9">J42</f>
        <v>0.1547731475</v>
      </c>
      <c r="G42" s="55">
        <f t="shared" si="39"/>
        <v>0.1456416577</v>
      </c>
      <c r="H42" s="32">
        <f t="shared" si="38"/>
        <v>0.06269833756</v>
      </c>
      <c r="I42" s="30"/>
      <c r="J42" s="40">
        <v>0.15477314751890706</v>
      </c>
      <c r="K42" s="40">
        <v>0.14564165770200524</v>
      </c>
      <c r="L42" s="40">
        <v>0.13935307199663938</v>
      </c>
      <c r="M42" s="40">
        <v>0.1371103463347429</v>
      </c>
      <c r="N42" s="40">
        <v>0.13569677362132146</v>
      </c>
      <c r="O42" s="40">
        <v>0.12480675525942353</v>
      </c>
      <c r="P42" s="40">
        <v>0.11209485013322683</v>
      </c>
      <c r="Q42" s="40">
        <v>0.11038293810692583</v>
      </c>
      <c r="R42" s="40">
        <v>0.11893421125547805</v>
      </c>
      <c r="S42" s="40">
        <v>0.10848081533065154</v>
      </c>
      <c r="T42" s="40">
        <v>0.11204264503767107</v>
      </c>
      <c r="U42" s="40">
        <v>0.10045778253646341</v>
      </c>
      <c r="V42" s="40">
        <v>0.09394032889217763</v>
      </c>
      <c r="W42" s="40">
        <v>0.08805957834759923</v>
      </c>
      <c r="X42" s="31">
        <v>0.09281304668209384</v>
      </c>
      <c r="Y42" s="31">
        <v>0.09656063647206609</v>
      </c>
      <c r="Z42" s="31">
        <v>0.10280629592670106</v>
      </c>
      <c r="AA42" s="31">
        <v>0.09792544949709579</v>
      </c>
      <c r="AB42" s="31">
        <v>0.09779568547337143</v>
      </c>
      <c r="AC42" s="31">
        <v>0.09058253258337605</v>
      </c>
      <c r="AD42" s="31">
        <v>0.0844630180751013</v>
      </c>
      <c r="AE42" s="31">
        <v>0.0849990224696408</v>
      </c>
      <c r="AF42" s="31">
        <v>0.08506859103592364</v>
      </c>
      <c r="AG42" s="31">
        <v>0.09328983985285606</v>
      </c>
      <c r="AH42" s="31">
        <v>0.09847547039483542</v>
      </c>
      <c r="AI42" s="31">
        <v>0.09707028321109297</v>
      </c>
      <c r="AJ42" s="31">
        <v>0.09362575451101118</v>
      </c>
      <c r="AK42" s="31">
        <v>0.09475685020869053</v>
      </c>
      <c r="AL42" s="31">
        <v>0.09294635587085477</v>
      </c>
      <c r="AM42" s="31">
        <v>0.09454676283417163</v>
      </c>
      <c r="AN42" s="31">
        <v>0.09298330475038814</v>
      </c>
      <c r="AO42" s="31">
        <v>0.0981069263086008</v>
      </c>
      <c r="AP42" s="31">
        <v>0.10228833082720212</v>
      </c>
      <c r="AQ42" s="31">
        <v>0.1005638691860964</v>
      </c>
      <c r="AR42" s="31">
        <v>0.10316692107827603</v>
      </c>
      <c r="AS42" s="31"/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40">J43</f>
        <v>0.1811526133</v>
      </c>
      <c r="G43" s="55">
        <f t="shared" si="40"/>
        <v>0.1762497434</v>
      </c>
      <c r="H43" s="32">
        <f t="shared" si="38"/>
        <v>0.0278177422</v>
      </c>
      <c r="I43" s="30"/>
      <c r="J43" s="40">
        <v>0.18115261333948446</v>
      </c>
      <c r="K43" s="40">
        <v>0.17624974341401492</v>
      </c>
      <c r="L43" s="40">
        <v>0.1819721555291082</v>
      </c>
      <c r="M43" s="40">
        <v>0.18479529305910553</v>
      </c>
      <c r="N43" s="40">
        <v>0.18136265932644977</v>
      </c>
      <c r="O43" s="40">
        <v>0.17886182283615526</v>
      </c>
      <c r="P43" s="40">
        <v>0.18311177926768188</v>
      </c>
      <c r="Q43" s="40">
        <v>0.17649547977690813</v>
      </c>
      <c r="R43" s="40">
        <v>0.18483185416551767</v>
      </c>
      <c r="S43" s="40">
        <v>0.17976172032384194</v>
      </c>
      <c r="T43" s="40">
        <v>0.19044991436840264</v>
      </c>
      <c r="U43" s="40">
        <v>0.2018578619176336</v>
      </c>
      <c r="V43" s="40">
        <v>0.20086575809184232</v>
      </c>
      <c r="W43" s="40">
        <v>0.1898100471826766</v>
      </c>
      <c r="X43" s="31">
        <v>0.18303823949602216</v>
      </c>
      <c r="Y43" s="31">
        <v>0.188975055580105</v>
      </c>
      <c r="Z43" s="31">
        <v>0.18618270117860633</v>
      </c>
      <c r="AA43" s="31">
        <v>0.18616178238074246</v>
      </c>
      <c r="AB43" s="31">
        <v>0.18362135275011662</v>
      </c>
      <c r="AC43" s="31">
        <v>0.18987032053493652</v>
      </c>
      <c r="AD43" s="31">
        <v>0.18211353722281923</v>
      </c>
      <c r="AE43" s="31">
        <v>0.17822674249829712</v>
      </c>
      <c r="AF43" s="31">
        <v>0.18516827916195547</v>
      </c>
      <c r="AG43" s="31">
        <v>0.19006288690105616</v>
      </c>
      <c r="AH43" s="31">
        <v>0.19215614174290646</v>
      </c>
      <c r="AI43" s="31">
        <v>0.18538258642139818</v>
      </c>
      <c r="AJ43" s="31">
        <v>0.1912082686048239</v>
      </c>
      <c r="AK43" s="31">
        <v>0.18821625482845525</v>
      </c>
      <c r="AL43" s="31">
        <v>0.19594265502221886</v>
      </c>
      <c r="AM43" s="31">
        <v>0.18990625252583174</v>
      </c>
      <c r="AN43" s="31">
        <v>0.18599442599460123</v>
      </c>
      <c r="AO43" s="31">
        <v>0.19051994713905357</v>
      </c>
      <c r="AP43" s="31">
        <v>0.19022822337502393</v>
      </c>
      <c r="AQ43" s="31">
        <v>0.19866319204601704</v>
      </c>
      <c r="AR43" s="31">
        <v>0.20270474645670436</v>
      </c>
      <c r="AS43" s="31"/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41">J44</f>
        <v>0.03735292413</v>
      </c>
      <c r="G44" s="55">
        <f t="shared" si="41"/>
        <v>0.03090028373</v>
      </c>
      <c r="H44" s="32">
        <f t="shared" si="38"/>
        <v>0.2088213965</v>
      </c>
      <c r="I44" s="30"/>
      <c r="J44" s="40">
        <v>0.037352924134520515</v>
      </c>
      <c r="K44" s="40">
        <v>0.03090028373230312</v>
      </c>
      <c r="L44" s="40">
        <v>0.03413338622598929</v>
      </c>
      <c r="M44" s="40">
        <v>0.01592765982694463</v>
      </c>
      <c r="N44" s="40">
        <v>0.014531323927996486</v>
      </c>
      <c r="O44" s="40">
        <v>0.018875695148735105</v>
      </c>
      <c r="P44" s="40">
        <v>0.022150359722024154</v>
      </c>
      <c r="Q44" s="40">
        <v>0.029240476804820746</v>
      </c>
      <c r="R44" s="40">
        <v>0.03230014079744047</v>
      </c>
      <c r="S44" s="40">
        <v>0.03663023112768019</v>
      </c>
      <c r="T44" s="40">
        <v>0.040089746837935154</v>
      </c>
      <c r="U44" s="40">
        <v>0.038007479297516196</v>
      </c>
      <c r="V44" s="40">
        <v>0.04400539475630719</v>
      </c>
      <c r="W44" s="40">
        <v>0.04578004390370439</v>
      </c>
      <c r="X44" s="31">
        <v>0.04492987065669692</v>
      </c>
      <c r="Y44" s="31">
        <v>0.050044120532802876</v>
      </c>
      <c r="Z44" s="31">
        <v>0.05177347619703842</v>
      </c>
      <c r="AA44" s="31">
        <v>0.0521048558622688</v>
      </c>
      <c r="AB44" s="31">
        <v>0.052503078762960904</v>
      </c>
      <c r="AC44" s="31">
        <v>0.05112010066065547</v>
      </c>
      <c r="AD44" s="31">
        <v>0.048802081075421735</v>
      </c>
      <c r="AE44" s="31">
        <v>0.053687651015160064</v>
      </c>
      <c r="AF44" s="31">
        <v>0.05319733290945356</v>
      </c>
      <c r="AG44" s="31">
        <v>0.050008284609523605</v>
      </c>
      <c r="AH44" s="31">
        <v>0.045991941241413065</v>
      </c>
      <c r="AI44" s="31">
        <v>0.04952192815542344</v>
      </c>
      <c r="AJ44" s="31">
        <v>0.05232715085852286</v>
      </c>
      <c r="AK44" s="31">
        <v>0.04856949162100737</v>
      </c>
      <c r="AL44" s="31">
        <v>0.036187760622721415</v>
      </c>
      <c r="AM44" s="31">
        <v>0.0358025397833458</v>
      </c>
      <c r="AN44" s="31">
        <v>0.026032239541995406</v>
      </c>
      <c r="AO44" s="31">
        <v>0.02486765290471099</v>
      </c>
      <c r="AP44" s="31">
        <v>0.021644781245451272</v>
      </c>
      <c r="AQ44" s="31">
        <v>0.02049014056243258</v>
      </c>
      <c r="AR44" s="31">
        <v>0.01495970689627022</v>
      </c>
      <c r="AS44" s="31"/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42">J45</f>
        <v>0.05052569498</v>
      </c>
      <c r="G45" s="55">
        <f t="shared" si="42"/>
        <v>0.05240359717</v>
      </c>
      <c r="H45" s="32">
        <f t="shared" si="38"/>
        <v>-0.03583536785</v>
      </c>
      <c r="I45" s="30"/>
      <c r="J45" s="40">
        <v>0.05052569498473443</v>
      </c>
      <c r="K45" s="40">
        <v>0.05240359716571864</v>
      </c>
      <c r="L45" s="40">
        <v>0.05390256200058152</v>
      </c>
      <c r="M45" s="40">
        <v>0.05510506646376328</v>
      </c>
      <c r="N45" s="40">
        <v>0.05412134115857818</v>
      </c>
      <c r="O45" s="40">
        <v>0.05563764299938017</v>
      </c>
      <c r="P45" s="40">
        <v>0.057670736772399346</v>
      </c>
      <c r="Q45" s="40">
        <v>0.05994485322800643</v>
      </c>
      <c r="R45" s="40">
        <v>0.061581049812748756</v>
      </c>
      <c r="S45" s="40">
        <v>0.06062491721991058</v>
      </c>
      <c r="T45" s="40">
        <v>0.05934965431839554</v>
      </c>
      <c r="U45" s="40">
        <v>0.06002460984184747</v>
      </c>
      <c r="V45" s="40">
        <v>0.06246852376985958</v>
      </c>
      <c r="W45" s="40">
        <v>0.06128183181090209</v>
      </c>
      <c r="X45" s="31">
        <v>0.060398701672062585</v>
      </c>
      <c r="Y45" s="31">
        <v>0.05648069424478678</v>
      </c>
      <c r="Z45" s="31">
        <v>0.05332125903454717</v>
      </c>
      <c r="AA45" s="31">
        <v>0.05232620401997904</v>
      </c>
      <c r="AB45" s="31">
        <v>0.05183763684010645</v>
      </c>
      <c r="AC45" s="31">
        <v>0.05201333790656118</v>
      </c>
      <c r="AD45" s="31">
        <v>0.04989945731506892</v>
      </c>
      <c r="AE45" s="31">
        <v>0.05004316334291595</v>
      </c>
      <c r="AF45" s="31">
        <v>0.048865972347414216</v>
      </c>
      <c r="AG45" s="31">
        <v>0.05136237382276095</v>
      </c>
      <c r="AH45" s="31">
        <v>0.050031162543754525</v>
      </c>
      <c r="AI45" s="31">
        <v>0.04936100139171236</v>
      </c>
      <c r="AJ45" s="31">
        <v>0.04924193409255907</v>
      </c>
      <c r="AK45" s="31">
        <v>0.046852412023834444</v>
      </c>
      <c r="AL45" s="31">
        <v>0.043445239435382255</v>
      </c>
      <c r="AM45" s="31">
        <v>0.040352356228789764</v>
      </c>
      <c r="AN45" s="31">
        <v>0.0393237932826727</v>
      </c>
      <c r="AO45" s="31">
        <v>0.03766506013281221</v>
      </c>
      <c r="AP45" s="31">
        <v>0.035803149047345204</v>
      </c>
      <c r="AQ45" s="31">
        <v>0.03491267482538368</v>
      </c>
      <c r="AR45" s="31">
        <v>0.033044724303625615</v>
      </c>
      <c r="AS45" s="31"/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43">J46</f>
        <v>0.01618787635</v>
      </c>
      <c r="G46" s="55">
        <f t="shared" si="43"/>
        <v>0.01761614378</v>
      </c>
      <c r="H46" s="32">
        <f t="shared" si="38"/>
        <v>-0.08107718965</v>
      </c>
      <c r="I46" s="30"/>
      <c r="J46" s="40">
        <v>0.01618787635206897</v>
      </c>
      <c r="K46" s="40">
        <v>0.017616143782358477</v>
      </c>
      <c r="L46" s="40">
        <v>0.01721884444788176</v>
      </c>
      <c r="M46" s="40">
        <v>0.016915585025844792</v>
      </c>
      <c r="N46" s="40">
        <v>0.016856049618169704</v>
      </c>
      <c r="O46" s="40">
        <v>0.016384936155796663</v>
      </c>
      <c r="P46" s="40">
        <v>0.016066477490756823</v>
      </c>
      <c r="Q46" s="40">
        <v>0.017646675328322908</v>
      </c>
      <c r="R46" s="40">
        <v>0.020585320843374024</v>
      </c>
      <c r="S46" s="40">
        <v>0.02015996865617673</v>
      </c>
      <c r="T46" s="40">
        <v>0.019510867959538703</v>
      </c>
      <c r="U46" s="40">
        <v>0.01851118245251474</v>
      </c>
      <c r="V46" s="40">
        <v>0.016824041488342503</v>
      </c>
      <c r="W46" s="40">
        <v>0.01591994780443223</v>
      </c>
      <c r="X46" s="31">
        <v>0.014765737249770709</v>
      </c>
      <c r="Y46" s="31">
        <v>0.013331424879689985</v>
      </c>
      <c r="Z46" s="31">
        <v>0.011136130562615842</v>
      </c>
      <c r="AA46" s="31">
        <v>0.009883422769837263</v>
      </c>
      <c r="AB46" s="31">
        <v>0.00838042708183276</v>
      </c>
      <c r="AC46" s="31">
        <v>0.006899291521572671</v>
      </c>
      <c r="AD46" s="31">
        <v>0.005422017471292135</v>
      </c>
      <c r="AE46" s="31">
        <v>0.0017352003640574642</v>
      </c>
      <c r="AF46" s="31">
        <v>9.66749731312062E-4</v>
      </c>
      <c r="AG46" s="31">
        <v>6.29559583673505E-4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/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4">J47</f>
        <v>0.01259498577</v>
      </c>
      <c r="G47" s="55">
        <f t="shared" si="44"/>
        <v>0.0126746952</v>
      </c>
      <c r="H47" s="32">
        <f t="shared" si="38"/>
        <v>-0.006288864263</v>
      </c>
      <c r="I47" s="30"/>
      <c r="J47" s="40">
        <v>0.012594985765002661</v>
      </c>
      <c r="K47" s="40">
        <v>0.012674695202701201</v>
      </c>
      <c r="L47" s="40">
        <v>0.011262462289161964</v>
      </c>
      <c r="M47" s="40">
        <v>0.01053148494816112</v>
      </c>
      <c r="N47" s="40">
        <v>0.010082635192000896</v>
      </c>
      <c r="O47" s="40">
        <v>0.008690732835960585</v>
      </c>
      <c r="P47" s="40">
        <v>0.005952584148529258</v>
      </c>
      <c r="Q47" s="40">
        <v>0.004859259597140564</v>
      </c>
      <c r="R47" s="40">
        <v>0.004654983392784598</v>
      </c>
      <c r="S47" s="40">
        <v>0.0045507761115188795</v>
      </c>
      <c r="T47" s="40">
        <v>0.0043766676008068104</v>
      </c>
      <c r="U47" s="40">
        <v>0.004608245109142746</v>
      </c>
      <c r="V47" s="40">
        <v>0.0037160444948589346</v>
      </c>
      <c r="W47" s="40">
        <v>0.003260448328833342</v>
      </c>
      <c r="X47" s="31">
        <v>0.0018318739291401408</v>
      </c>
      <c r="Y47" s="31">
        <v>9.452339750271164E-4</v>
      </c>
      <c r="Z47" s="31">
        <v>4.759722022794618E-4</v>
      </c>
      <c r="AA47" s="31">
        <v>7.3056730979283E-5</v>
      </c>
      <c r="AB47" s="31">
        <v>1.1744421455414562E-5</v>
      </c>
      <c r="AC47" s="31">
        <v>1.814765924478543E-6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>
        <v>0.0</v>
      </c>
      <c r="AU47" s="31">
        <v>0.0</v>
      </c>
      <c r="AV47" s="31">
        <v>0.0</v>
      </c>
      <c r="AW47" s="31">
        <v>0.0</v>
      </c>
      <c r="AX47" s="31">
        <v>0.0</v>
      </c>
      <c r="AY47" s="33">
        <v>0.0</v>
      </c>
      <c r="AZ47" s="33">
        <v>0.0</v>
      </c>
      <c r="BA47" s="33">
        <v>0.0</v>
      </c>
      <c r="BB47" s="33">
        <v>0.0</v>
      </c>
      <c r="BC47" s="33">
        <v>0.0</v>
      </c>
      <c r="BD47" s="33">
        <v>0.0</v>
      </c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5">J48</f>
        <v>0.01466700617</v>
      </c>
      <c r="G48" s="55">
        <f t="shared" si="45"/>
        <v>0.01070286837</v>
      </c>
      <c r="H48" s="32">
        <f t="shared" si="38"/>
        <v>0.3703808788</v>
      </c>
      <c r="I48" s="30"/>
      <c r="J48" s="40">
        <v>0.014667006165214951</v>
      </c>
      <c r="K48" s="40">
        <v>0.010702868371827412</v>
      </c>
      <c r="L48" s="40">
        <v>0.008237876189605663</v>
      </c>
      <c r="M48" s="40">
        <v>0.0034987069895322286</v>
      </c>
      <c r="N48" s="40">
        <v>0.003951463857785173</v>
      </c>
      <c r="O48" s="40">
        <v>0.0029899627445105375</v>
      </c>
      <c r="P48" s="40">
        <v>0.001443303477964353</v>
      </c>
      <c r="Q48" s="40">
        <v>0.001517453508744382</v>
      </c>
      <c r="R48" s="40">
        <v>0.0019758825486441063</v>
      </c>
      <c r="S48" s="40">
        <v>0.0024524093182301102</v>
      </c>
      <c r="T48" s="40">
        <v>0.0026148889441998005</v>
      </c>
      <c r="U48" s="40">
        <v>0.003324053806498886</v>
      </c>
      <c r="V48" s="40">
        <v>0.004367005622300962</v>
      </c>
      <c r="W48" s="40">
        <v>0.003220431284504138</v>
      </c>
      <c r="X48" s="31">
        <v>2.0336733940229217E-4</v>
      </c>
      <c r="Y48" s="31">
        <v>5.761974765098196E-6</v>
      </c>
      <c r="Z48" s="31">
        <v>-5.230270247083315E-6</v>
      </c>
      <c r="AA48" s="31">
        <v>8.413603877293421E-5</v>
      </c>
      <c r="AB48" s="31">
        <v>1.8513409447594692E-5</v>
      </c>
      <c r="AC48" s="31">
        <v>1.9369966871871244E-18</v>
      </c>
      <c r="AD48" s="31">
        <v>0.0</v>
      </c>
      <c r="AE48" s="31">
        <v>0.0</v>
      </c>
      <c r="AF48" s="31">
        <v>0.0</v>
      </c>
      <c r="AG48" s="31">
        <v>0.0</v>
      </c>
      <c r="AH48" s="31">
        <v>0.0</v>
      </c>
      <c r="AI48" s="31">
        <v>0.0</v>
      </c>
      <c r="AJ48" s="31">
        <v>0.0</v>
      </c>
      <c r="AK48" s="31">
        <v>0.0</v>
      </c>
      <c r="AL48" s="31">
        <v>0.0</v>
      </c>
      <c r="AM48" s="31">
        <v>0.0</v>
      </c>
      <c r="AN48" s="31">
        <v>0.0</v>
      </c>
      <c r="AO48" s="31">
        <v>0.0</v>
      </c>
      <c r="AP48" s="31">
        <v>0.0</v>
      </c>
      <c r="AQ48" s="31">
        <v>0.0</v>
      </c>
      <c r="AR48" s="31">
        <v>0.0</v>
      </c>
      <c r="AS48" s="31">
        <v>0.0</v>
      </c>
      <c r="AT48" s="31">
        <v>0.0</v>
      </c>
      <c r="AU48" s="31">
        <v>0.0</v>
      </c>
      <c r="AV48" s="31">
        <v>0.0</v>
      </c>
      <c r="AW48" s="31">
        <v>0.0</v>
      </c>
      <c r="AX48" s="31">
        <v>0.0</v>
      </c>
      <c r="AY48" s="33">
        <v>0.0</v>
      </c>
      <c r="AZ48" s="33">
        <v>0.0</v>
      </c>
      <c r="BA48" s="33">
        <v>0.0</v>
      </c>
      <c r="BB48" s="33">
        <v>0.0</v>
      </c>
      <c r="BC48" s="33">
        <v>0.0</v>
      </c>
      <c r="BD48" s="33">
        <v>0.0</v>
      </c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</row>
    <row r="51">
      <c r="C51" s="28" t="s">
        <v>37</v>
      </c>
      <c r="D51" s="39" t="s">
        <v>10</v>
      </c>
      <c r="F51" s="55">
        <f t="shared" ref="F51:G51" si="46">J51</f>
        <v>1</v>
      </c>
      <c r="G51" s="55">
        <f t="shared" si="46"/>
        <v>1</v>
      </c>
      <c r="H51" s="32">
        <f t="shared" ref="H51:H57" si="48">IFERROR(F51/G51-1,"-")</f>
        <v>0</v>
      </c>
      <c r="J51" s="58">
        <v>1.0</v>
      </c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</row>
    <row r="52">
      <c r="C52" s="60" t="s">
        <v>44</v>
      </c>
      <c r="D52" s="39" t="s">
        <v>10</v>
      </c>
      <c r="F52" s="55">
        <f t="shared" ref="F52:G52" si="47">J52</f>
        <v>0.1064445038</v>
      </c>
      <c r="G52" s="55">
        <f t="shared" si="47"/>
        <v>0.1091031737</v>
      </c>
      <c r="H52" s="32">
        <f t="shared" si="48"/>
        <v>-0.02436840175</v>
      </c>
      <c r="J52" s="58">
        <v>0.106444503758126</v>
      </c>
      <c r="K52" s="58">
        <v>0.109103173727401</v>
      </c>
      <c r="L52" s="58">
        <v>0.109282177116993</v>
      </c>
      <c r="M52" s="58">
        <v>0.110724013062807</v>
      </c>
      <c r="N52" s="58">
        <v>0.109111106933666</v>
      </c>
      <c r="O52" s="58">
        <v>0.112369631215792</v>
      </c>
      <c r="P52" s="58">
        <v>0.113148606868713</v>
      </c>
      <c r="Q52" s="58">
        <v>0.101566451076024</v>
      </c>
      <c r="R52" s="58">
        <v>0.0956310869667786</v>
      </c>
      <c r="S52" s="58">
        <v>0.0949544804600833</v>
      </c>
      <c r="T52" s="58">
        <v>0.100198925930297</v>
      </c>
      <c r="U52" s="58">
        <v>0.104823613617162</v>
      </c>
      <c r="V52" s="58">
        <v>0.105675789042205</v>
      </c>
      <c r="W52" s="58">
        <v>0.113441461633437</v>
      </c>
      <c r="X52" s="31">
        <v>0.0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</row>
    <row r="53">
      <c r="C53" s="60" t="s">
        <v>45</v>
      </c>
      <c r="D53" s="39" t="s">
        <v>10</v>
      </c>
      <c r="F53" s="55">
        <f t="shared" ref="F53:G53" si="49">J53</f>
        <v>0.000920177266</v>
      </c>
      <c r="G53" s="55">
        <f t="shared" si="49"/>
        <v>0.001072403043</v>
      </c>
      <c r="H53" s="32">
        <f t="shared" si="48"/>
        <v>-0.1419482892</v>
      </c>
      <c r="J53" s="58">
        <v>9.20177265972994E-4</v>
      </c>
      <c r="K53" s="58">
        <v>0.0010724030433269</v>
      </c>
      <c r="L53" s="58">
        <v>0.00105228344301468</v>
      </c>
      <c r="M53" s="58">
        <v>0.00121024070079468</v>
      </c>
      <c r="N53" s="58">
        <v>0.00133155314458889</v>
      </c>
      <c r="O53" s="58">
        <v>0.00153059574153062</v>
      </c>
      <c r="P53" s="58">
        <v>0.00164104476670438</v>
      </c>
      <c r="Q53" s="58">
        <v>0.00155553544331752</v>
      </c>
      <c r="R53" s="58">
        <v>0.00168178396556621</v>
      </c>
      <c r="S53" s="58">
        <v>0.00222427675705165</v>
      </c>
      <c r="T53" s="58">
        <v>0.00276949957720354</v>
      </c>
      <c r="U53" s="58">
        <v>0.00238662360524049</v>
      </c>
      <c r="V53" s="58">
        <v>0.00214880322327576</v>
      </c>
      <c r="W53" s="58">
        <v>0.00422183031627916</v>
      </c>
      <c r="X53" s="31">
        <v>0.0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</row>
    <row r="54">
      <c r="C54" s="60" t="s">
        <v>46</v>
      </c>
      <c r="D54" s="39" t="s">
        <v>10</v>
      </c>
      <c r="F54" s="55">
        <f t="shared" ref="F54:G54" si="50">J54</f>
        <v>0.004892348278</v>
      </c>
      <c r="G54" s="55">
        <f t="shared" si="50"/>
        <v>0.004919478317</v>
      </c>
      <c r="H54" s="32">
        <f t="shared" si="48"/>
        <v>-0.005514820143</v>
      </c>
      <c r="J54" s="58">
        <v>0.00489234827845915</v>
      </c>
      <c r="K54" s="58">
        <v>0.00491947831657138</v>
      </c>
      <c r="L54" s="58">
        <v>0.00512215842939405</v>
      </c>
      <c r="M54" s="58">
        <v>0.0052114209970941</v>
      </c>
      <c r="N54" s="58">
        <v>0.00622128583704434</v>
      </c>
      <c r="O54" s="58">
        <v>0.00690108988741244</v>
      </c>
      <c r="P54" s="58">
        <v>0.00833506300048759</v>
      </c>
      <c r="Q54" s="58">
        <v>0.00821288045148768</v>
      </c>
      <c r="R54" s="58">
        <v>0.00904038014584361</v>
      </c>
      <c r="S54" s="58">
        <v>0.0111590184288636</v>
      </c>
      <c r="T54" s="58">
        <v>0.0112808233129642</v>
      </c>
      <c r="U54" s="58">
        <v>0.0116212617648279</v>
      </c>
      <c r="V54" s="58">
        <v>0.0106652919871496</v>
      </c>
      <c r="W54" s="58">
        <v>0.0176411644183194</v>
      </c>
      <c r="X54" s="31">
        <v>0.0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</row>
    <row r="55">
      <c r="C55" s="60" t="s">
        <v>47</v>
      </c>
      <c r="D55" s="39" t="s">
        <v>10</v>
      </c>
      <c r="F55" s="55">
        <f t="shared" ref="F55:G55" si="51">J55</f>
        <v>0.08127017408</v>
      </c>
      <c r="G55" s="55">
        <f t="shared" si="51"/>
        <v>0.08477885576</v>
      </c>
      <c r="H55" s="32">
        <f t="shared" si="48"/>
        <v>-0.04138628247</v>
      </c>
      <c r="J55" s="58">
        <v>0.0812701740841278</v>
      </c>
      <c r="K55" s="58">
        <v>0.0847788557555898</v>
      </c>
      <c r="L55" s="58">
        <v>0.0851960462440744</v>
      </c>
      <c r="M55" s="58">
        <v>0.0858839675099319</v>
      </c>
      <c r="N55" s="58">
        <v>0.0833693264670422</v>
      </c>
      <c r="O55" s="58">
        <v>0.0835422989286039</v>
      </c>
      <c r="P55" s="58">
        <v>0.0844523493526896</v>
      </c>
      <c r="Q55" s="58">
        <v>0.0806312809203684</v>
      </c>
      <c r="R55" s="58">
        <v>0.0723451527499699</v>
      </c>
      <c r="S55" s="58">
        <v>0.0703031780526796</v>
      </c>
      <c r="T55" s="58">
        <v>0.0758851243475913</v>
      </c>
      <c r="U55" s="58">
        <v>0.0784374349152715</v>
      </c>
      <c r="V55" s="58">
        <v>0.0785109170423028</v>
      </c>
      <c r="W55" s="58">
        <v>0.0731960811389668</v>
      </c>
      <c r="X55" s="31">
        <v>0.0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</row>
    <row r="56">
      <c r="C56" s="60" t="s">
        <v>48</v>
      </c>
      <c r="D56" s="39" t="s">
        <v>10</v>
      </c>
      <c r="F56" s="55">
        <f t="shared" ref="F56:G56" si="52">J56</f>
        <v>0.01793272783</v>
      </c>
      <c r="G56" s="55">
        <f t="shared" si="52"/>
        <v>0.01831143958</v>
      </c>
      <c r="H56" s="32">
        <f t="shared" si="48"/>
        <v>-0.02068170275</v>
      </c>
      <c r="J56" s="58">
        <v>0.0179327278324079</v>
      </c>
      <c r="K56" s="58">
        <v>0.0183114395828037</v>
      </c>
      <c r="L56" s="58">
        <v>0.0179118027073942</v>
      </c>
      <c r="M56" s="58">
        <v>0.0186748682077364</v>
      </c>
      <c r="N56" s="58">
        <v>0.0181890350076825</v>
      </c>
      <c r="O56" s="58">
        <v>0.0203956466582455</v>
      </c>
      <c r="P56" s="58">
        <v>0.0186975269530351</v>
      </c>
      <c r="Q56" s="58">
        <v>0.014899312301523</v>
      </c>
      <c r="R56" s="58">
        <v>0.0160748386094372</v>
      </c>
      <c r="S56" s="58">
        <v>0.0144309140960689</v>
      </c>
      <c r="T56" s="58">
        <v>0.0135347670107088</v>
      </c>
      <c r="U56" s="58">
        <v>0.0162506232318432</v>
      </c>
      <c r="V56" s="58">
        <v>0.0186710357551121</v>
      </c>
      <c r="W56" s="58">
        <v>0.022273195669202</v>
      </c>
      <c r="X56" s="31">
        <v>0.0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</row>
    <row r="57">
      <c r="C57" s="60" t="s">
        <v>49</v>
      </c>
      <c r="D57" s="39" t="s">
        <v>10</v>
      </c>
      <c r="F57" s="55">
        <f t="shared" ref="F57:G57" si="53">J57</f>
        <v>0.8935554962</v>
      </c>
      <c r="G57" s="55">
        <f t="shared" si="53"/>
        <v>0.8908968263</v>
      </c>
      <c r="H57" s="32">
        <f t="shared" si="48"/>
        <v>0.002984262477</v>
      </c>
      <c r="J57" s="58">
        <v>0.893555496241873</v>
      </c>
      <c r="K57" s="58">
        <v>0.890896826272598</v>
      </c>
      <c r="L57" s="58">
        <v>0.890717822883006</v>
      </c>
      <c r="M57" s="58">
        <v>0.889275986937192</v>
      </c>
      <c r="N57" s="58">
        <v>0.890888893066333</v>
      </c>
      <c r="O57" s="58">
        <v>0.887630368784207</v>
      </c>
      <c r="P57" s="58">
        <v>0.886851393131286</v>
      </c>
      <c r="Q57" s="58">
        <v>0.898433548923976</v>
      </c>
      <c r="R57" s="58">
        <v>0.904368913033221</v>
      </c>
      <c r="S57" s="58">
        <v>0.905045519539916</v>
      </c>
      <c r="T57" s="58">
        <v>0.899801074069702</v>
      </c>
      <c r="U57" s="58">
        <v>0.895176386382837</v>
      </c>
      <c r="V57" s="58">
        <v>0.894324210957794</v>
      </c>
      <c r="W57" s="58">
        <v>0.886558538366562</v>
      </c>
      <c r="X57" s="31">
        <v>1.0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</row>
    <row r="58">
      <c r="J58" s="9">
        <f t="shared" ref="J58:T58" si="54">J59*J60</f>
        <v>84710409.37</v>
      </c>
      <c r="K58" s="9">
        <f t="shared" si="54"/>
        <v>382961655.2</v>
      </c>
      <c r="L58" s="9">
        <f t="shared" si="54"/>
        <v>349553499.3</v>
      </c>
      <c r="M58" s="9">
        <f t="shared" si="54"/>
        <v>336185731.9</v>
      </c>
      <c r="N58" s="9">
        <f t="shared" si="54"/>
        <v>328565652.9</v>
      </c>
      <c r="O58" s="9">
        <f t="shared" si="54"/>
        <v>304360654.8</v>
      </c>
      <c r="P58" s="9">
        <f t="shared" si="54"/>
        <v>279182349.1</v>
      </c>
      <c r="Q58" s="9">
        <f t="shared" si="54"/>
        <v>238516348.8</v>
      </c>
      <c r="R58" s="9">
        <f t="shared" si="54"/>
        <v>258917659.8</v>
      </c>
      <c r="S58" s="9">
        <f t="shared" si="54"/>
        <v>224012999.1</v>
      </c>
      <c r="T58" s="9">
        <f t="shared" si="54"/>
        <v>226042144.2</v>
      </c>
      <c r="U58" s="61">
        <f>sum(J58:T58)</f>
        <v>3013009105</v>
      </c>
    </row>
    <row r="59">
      <c r="J59" s="1">
        <v>6.0</v>
      </c>
      <c r="K59" s="1">
        <v>31.0</v>
      </c>
      <c r="L59" s="1">
        <v>30.0</v>
      </c>
      <c r="M59" s="1">
        <v>31.0</v>
      </c>
      <c r="N59" s="1">
        <v>31.0</v>
      </c>
      <c r="O59" s="1">
        <v>30.0</v>
      </c>
      <c r="P59" s="1">
        <v>31.0</v>
      </c>
      <c r="Q59" s="1">
        <v>30.0</v>
      </c>
      <c r="R59" s="1">
        <v>31.0</v>
      </c>
      <c r="S59" s="1">
        <v>29.0</v>
      </c>
      <c r="T59" s="1">
        <v>31.0</v>
      </c>
    </row>
    <row r="60">
      <c r="C60" s="28" t="s">
        <v>37</v>
      </c>
      <c r="D60" s="39" t="s">
        <v>6</v>
      </c>
      <c r="F60" s="5">
        <f t="shared" ref="F60:F66" si="56">K60/P60-1</f>
        <v>0.3717258862</v>
      </c>
      <c r="G60" s="4"/>
      <c r="H60" s="5"/>
      <c r="J60" s="31">
        <f t="shared" ref="J60:T60" si="55">J40*J$14</f>
        <v>14118401.56</v>
      </c>
      <c r="K60" s="31">
        <f t="shared" si="55"/>
        <v>12353601.78</v>
      </c>
      <c r="L60" s="31">
        <f t="shared" si="55"/>
        <v>11651783.31</v>
      </c>
      <c r="M60" s="31">
        <f t="shared" si="55"/>
        <v>10844701.03</v>
      </c>
      <c r="N60" s="31">
        <f t="shared" si="55"/>
        <v>10598892.03</v>
      </c>
      <c r="O60" s="31">
        <f t="shared" si="55"/>
        <v>10145355.16</v>
      </c>
      <c r="P60" s="31">
        <f t="shared" si="55"/>
        <v>9005882.228</v>
      </c>
      <c r="Q60" s="31">
        <f t="shared" si="55"/>
        <v>7950544.958</v>
      </c>
      <c r="R60" s="31">
        <f t="shared" si="55"/>
        <v>8352182.574</v>
      </c>
      <c r="S60" s="31">
        <f t="shared" si="55"/>
        <v>7724586.176</v>
      </c>
      <c r="T60" s="31">
        <f t="shared" si="55"/>
        <v>7291682.072</v>
      </c>
    </row>
    <row r="61">
      <c r="C61" s="38" t="s">
        <v>38</v>
      </c>
      <c r="D61" s="39" t="s">
        <v>6</v>
      </c>
      <c r="F61" s="5">
        <f t="shared" si="56"/>
        <v>0.2629499332</v>
      </c>
      <c r="G61" s="4"/>
      <c r="H61" s="5"/>
      <c r="J61" s="31">
        <f t="shared" ref="J61:T61" si="57">J41*J$14</f>
        <v>7521518.453</v>
      </c>
      <c r="K61" s="31">
        <f t="shared" si="57"/>
        <v>6841560.687</v>
      </c>
      <c r="L61" s="31">
        <f t="shared" si="57"/>
        <v>6454151.632</v>
      </c>
      <c r="M61" s="31">
        <f t="shared" si="57"/>
        <v>6247804.231</v>
      </c>
      <c r="N61" s="31">
        <f t="shared" si="57"/>
        <v>6183369.798</v>
      </c>
      <c r="O61" s="31">
        <f t="shared" si="57"/>
        <v>6023829.504</v>
      </c>
      <c r="P61" s="31">
        <f t="shared" si="57"/>
        <v>5417127.399</v>
      </c>
      <c r="Q61" s="31">
        <f t="shared" si="57"/>
        <v>4769634.194</v>
      </c>
      <c r="R61" s="31">
        <f t="shared" si="57"/>
        <v>4803645.531</v>
      </c>
      <c r="S61" s="31">
        <f t="shared" si="57"/>
        <v>4536951.971</v>
      </c>
      <c r="T61" s="31">
        <f t="shared" si="57"/>
        <v>4167674.747</v>
      </c>
    </row>
    <row r="62">
      <c r="C62" s="38" t="s">
        <v>29</v>
      </c>
      <c r="D62" s="39" t="s">
        <v>6</v>
      </c>
      <c r="F62" s="5">
        <f t="shared" si="56"/>
        <v>0.7822445165</v>
      </c>
      <c r="G62" s="4"/>
      <c r="H62" s="5"/>
      <c r="J62" s="31">
        <f t="shared" ref="J62:T62" si="58">J42*J$14</f>
        <v>2185149.448</v>
      </c>
      <c r="K62" s="31">
        <f t="shared" si="58"/>
        <v>1799199.042</v>
      </c>
      <c r="L62" s="31">
        <f t="shared" si="58"/>
        <v>1623711.799</v>
      </c>
      <c r="M62" s="31">
        <f t="shared" si="58"/>
        <v>1486920.714</v>
      </c>
      <c r="N62" s="31">
        <f t="shared" si="58"/>
        <v>1438235.453</v>
      </c>
      <c r="O62" s="31">
        <f t="shared" si="58"/>
        <v>1266208.859</v>
      </c>
      <c r="P62" s="31">
        <f t="shared" si="58"/>
        <v>1009513.019</v>
      </c>
      <c r="Q62" s="31">
        <f t="shared" si="58"/>
        <v>877604.5121</v>
      </c>
      <c r="R62" s="31">
        <f t="shared" si="58"/>
        <v>993360.2467</v>
      </c>
      <c r="S62" s="31">
        <f t="shared" si="58"/>
        <v>837969.4065</v>
      </c>
      <c r="T62" s="31">
        <f t="shared" si="58"/>
        <v>816979.3461</v>
      </c>
    </row>
    <row r="63">
      <c r="C63" s="38" t="s">
        <v>39</v>
      </c>
      <c r="D63" s="39" t="s">
        <v>6</v>
      </c>
      <c r="F63" s="5">
        <f t="shared" si="56"/>
        <v>0.3203210435</v>
      </c>
      <c r="G63" s="4"/>
      <c r="H63" s="5"/>
      <c r="J63" s="31">
        <f t="shared" ref="J63:T63" si="59">J43*J$14</f>
        <v>2557585.339</v>
      </c>
      <c r="K63" s="31">
        <f t="shared" si="59"/>
        <v>2177319.144</v>
      </c>
      <c r="L63" s="31">
        <f t="shared" si="59"/>
        <v>2120300.125</v>
      </c>
      <c r="M63" s="31">
        <f t="shared" si="59"/>
        <v>2004049.705</v>
      </c>
      <c r="N63" s="31">
        <f t="shared" si="59"/>
        <v>1922243.245</v>
      </c>
      <c r="O63" s="31">
        <f t="shared" si="59"/>
        <v>1814616.717</v>
      </c>
      <c r="P63" s="31">
        <f t="shared" si="59"/>
        <v>1649083.119</v>
      </c>
      <c r="Q63" s="31">
        <f t="shared" si="59"/>
        <v>1403235.247</v>
      </c>
      <c r="R63" s="31">
        <f t="shared" si="59"/>
        <v>1543749.392</v>
      </c>
      <c r="S63" s="31">
        <f t="shared" si="59"/>
        <v>1388584.9</v>
      </c>
      <c r="T63" s="31">
        <f t="shared" si="59"/>
        <v>1388700.226</v>
      </c>
      <c r="U63" s="62" t="s">
        <v>50</v>
      </c>
    </row>
    <row r="64">
      <c r="C64" s="38" t="s">
        <v>40</v>
      </c>
      <c r="D64" s="39" t="s">
        <v>6</v>
      </c>
      <c r="F64" s="5">
        <f t="shared" si="56"/>
        <v>0.913590552</v>
      </c>
      <c r="G64" s="4"/>
      <c r="H64" s="5"/>
      <c r="J64" s="31">
        <f t="shared" ref="J64:T64" si="60">J44*J$14</f>
        <v>527363.5824</v>
      </c>
      <c r="K64" s="31">
        <f t="shared" si="60"/>
        <v>381729.8001</v>
      </c>
      <c r="L64" s="31">
        <f t="shared" si="60"/>
        <v>397714.82</v>
      </c>
      <c r="M64" s="31">
        <f t="shared" si="60"/>
        <v>172730.7089</v>
      </c>
      <c r="N64" s="31">
        <f t="shared" si="60"/>
        <v>154015.9334</v>
      </c>
      <c r="O64" s="31">
        <f t="shared" si="60"/>
        <v>191500.6312</v>
      </c>
      <c r="P64" s="31">
        <f t="shared" si="60"/>
        <v>199483.531</v>
      </c>
      <c r="Q64" s="31">
        <f t="shared" si="60"/>
        <v>232477.7254</v>
      </c>
      <c r="R64" s="31">
        <f t="shared" si="60"/>
        <v>269776.6731</v>
      </c>
      <c r="S64" s="31">
        <f t="shared" si="60"/>
        <v>282953.377</v>
      </c>
      <c r="T64" s="31">
        <f t="shared" si="60"/>
        <v>292321.6883</v>
      </c>
      <c r="U64" s="63">
        <v>0.02104</v>
      </c>
      <c r="V64" s="9">
        <f>U64/T64</f>
        <v>0.00000007197550111</v>
      </c>
    </row>
    <row r="65">
      <c r="C65" s="38" t="s">
        <v>41</v>
      </c>
      <c r="D65" s="39" t="s">
        <v>6</v>
      </c>
      <c r="F65" s="5">
        <f t="shared" si="56"/>
        <v>0.2464444671</v>
      </c>
      <c r="G65" s="4"/>
      <c r="H65" s="5"/>
      <c r="J65" s="31">
        <f t="shared" ref="J65:T65" si="61">J45*J$14</f>
        <v>713342.0509</v>
      </c>
      <c r="K65" s="31">
        <f t="shared" si="61"/>
        <v>647373.1713</v>
      </c>
      <c r="L65" s="31">
        <f t="shared" si="61"/>
        <v>628060.9723</v>
      </c>
      <c r="M65" s="31">
        <f t="shared" si="61"/>
        <v>597597.971</v>
      </c>
      <c r="N65" s="31">
        <f t="shared" si="61"/>
        <v>573626.2515</v>
      </c>
      <c r="O65" s="31">
        <f t="shared" si="61"/>
        <v>564463.6486</v>
      </c>
      <c r="P65" s="31">
        <f t="shared" si="61"/>
        <v>519375.8634</v>
      </c>
      <c r="Q65" s="31">
        <f t="shared" si="61"/>
        <v>476594.2506</v>
      </c>
      <c r="R65" s="31">
        <f t="shared" si="61"/>
        <v>514336.1711</v>
      </c>
      <c r="S65" s="31">
        <f t="shared" si="61"/>
        <v>468302.3975</v>
      </c>
      <c r="T65" s="31">
        <f t="shared" si="61"/>
        <v>432758.8103</v>
      </c>
      <c r="U65" s="64">
        <f t="shared" ref="U65:U70" si="63">T65*$V$64</f>
        <v>0.03114803224</v>
      </c>
    </row>
    <row r="66">
      <c r="C66" s="38" t="s">
        <v>33</v>
      </c>
      <c r="D66" s="39" t="s">
        <v>6</v>
      </c>
      <c r="F66" s="5">
        <f t="shared" si="56"/>
        <v>0.5040335043</v>
      </c>
      <c r="G66" s="4"/>
      <c r="H66" s="5"/>
      <c r="J66" s="31">
        <f t="shared" ref="J66:T66" si="62">J46*J$14</f>
        <v>228546.9388</v>
      </c>
      <c r="K66" s="31">
        <f t="shared" si="62"/>
        <v>217622.8252</v>
      </c>
      <c r="L66" s="31">
        <f t="shared" si="62"/>
        <v>200630.2444</v>
      </c>
      <c r="M66" s="31">
        <f t="shared" si="62"/>
        <v>183444.4623</v>
      </c>
      <c r="N66" s="31">
        <f t="shared" si="62"/>
        <v>178655.45</v>
      </c>
      <c r="O66" s="31">
        <f t="shared" si="62"/>
        <v>166230.9966</v>
      </c>
      <c r="P66" s="31">
        <f t="shared" si="62"/>
        <v>144692.8041</v>
      </c>
      <c r="Q66" s="31">
        <f t="shared" si="62"/>
        <v>140300.6856</v>
      </c>
      <c r="R66" s="31">
        <f t="shared" si="62"/>
        <v>171932.358</v>
      </c>
      <c r="S66" s="31">
        <f t="shared" si="62"/>
        <v>155727.4152</v>
      </c>
      <c r="T66" s="31">
        <f t="shared" si="62"/>
        <v>142267.0461</v>
      </c>
      <c r="U66" s="64">
        <f t="shared" si="63"/>
        <v>0.01023974194</v>
      </c>
    </row>
    <row r="67">
      <c r="D67" s="3"/>
      <c r="F67" s="4"/>
      <c r="G67" s="4"/>
      <c r="H67" s="5"/>
      <c r="L67" s="38" t="s">
        <v>39</v>
      </c>
      <c r="M67" s="65">
        <f t="shared" ref="M67:M70" si="64">M43*$M$64</f>
        <v>31919.82198</v>
      </c>
      <c r="N67" s="44">
        <v>0.11752364953597945</v>
      </c>
      <c r="P67" s="65">
        <f t="shared" ref="P67:P68" si="65">M67*(1+N67)</f>
        <v>35671.15595</v>
      </c>
      <c r="R67" s="44"/>
      <c r="T67" s="64">
        <f t="shared" ref="T67:T70" si="66">P67/$Q$64</f>
        <v>0.1534390268</v>
      </c>
      <c r="U67" s="64">
        <f t="shared" si="63"/>
        <v>0.00000001104385085</v>
      </c>
    </row>
    <row r="68">
      <c r="D68" s="3"/>
      <c r="F68" s="4"/>
      <c r="G68" s="4"/>
      <c r="H68" s="5"/>
      <c r="L68" s="38" t="s">
        <v>40</v>
      </c>
      <c r="M68" s="65">
        <f t="shared" si="64"/>
        <v>2751.195973</v>
      </c>
      <c r="N68" s="35">
        <v>0.12</v>
      </c>
      <c r="P68" s="65">
        <f t="shared" si="65"/>
        <v>3081.33949</v>
      </c>
      <c r="R68" s="44"/>
      <c r="T68" s="64">
        <f t="shared" si="66"/>
        <v>0.0132543429</v>
      </c>
      <c r="U68" s="64">
        <f t="shared" si="63"/>
        <v>0.0000000009539879724</v>
      </c>
    </row>
    <row r="69">
      <c r="D69" s="3"/>
      <c r="F69" s="4"/>
      <c r="G69" s="4"/>
      <c r="H69" s="5"/>
      <c r="L69" s="38" t="s">
        <v>41</v>
      </c>
      <c r="M69" s="65">
        <f t="shared" si="64"/>
        <v>9518.337196</v>
      </c>
      <c r="P69" s="65">
        <f t="shared" ref="P69:P70" si="67">M69*(1+R64)</f>
        <v>2567834861</v>
      </c>
      <c r="T69" s="64">
        <f t="shared" si="66"/>
        <v>11045.50922</v>
      </c>
      <c r="U69" s="64">
        <f t="shared" si="63"/>
        <v>0.0007950060614</v>
      </c>
    </row>
    <row r="70">
      <c r="D70" s="3"/>
      <c r="F70" s="4"/>
      <c r="G70" s="4"/>
      <c r="H70" s="5"/>
      <c r="L70" s="38" t="s">
        <v>33</v>
      </c>
      <c r="M70" s="65">
        <f t="shared" si="64"/>
        <v>2921.840993</v>
      </c>
      <c r="P70" s="65">
        <f t="shared" si="67"/>
        <v>1502811431</v>
      </c>
      <c r="T70" s="64">
        <f t="shared" si="66"/>
        <v>6464.324392</v>
      </c>
      <c r="U70" s="64">
        <f t="shared" si="63"/>
        <v>0.0004652729875</v>
      </c>
    </row>
    <row r="71">
      <c r="D71" s="3"/>
      <c r="F71" s="4"/>
      <c r="G71" s="4"/>
      <c r="H71" s="5"/>
    </row>
    <row r="72">
      <c r="D72" s="3"/>
      <c r="F72" s="4"/>
      <c r="G72" s="4"/>
      <c r="H72" s="5"/>
      <c r="J72" s="9">
        <f t="shared" ref="J72:T72" si="68">J61*J59</f>
        <v>45129110.72</v>
      </c>
      <c r="K72" s="9">
        <f t="shared" si="68"/>
        <v>212088381.3</v>
      </c>
      <c r="L72" s="9">
        <f t="shared" si="68"/>
        <v>193624549</v>
      </c>
      <c r="M72" s="9">
        <f t="shared" si="68"/>
        <v>193681931.2</v>
      </c>
      <c r="N72" s="9">
        <f t="shared" si="68"/>
        <v>191684463.7</v>
      </c>
      <c r="O72" s="9">
        <f t="shared" si="68"/>
        <v>180714885.1</v>
      </c>
      <c r="P72" s="9">
        <f t="shared" si="68"/>
        <v>167930949.4</v>
      </c>
      <c r="Q72" s="9">
        <f t="shared" si="68"/>
        <v>143089025.8</v>
      </c>
      <c r="R72" s="9">
        <f t="shared" si="68"/>
        <v>148913011.5</v>
      </c>
      <c r="S72" s="9">
        <f t="shared" si="68"/>
        <v>131571607.2</v>
      </c>
      <c r="T72" s="9">
        <f t="shared" si="68"/>
        <v>129197917.2</v>
      </c>
      <c r="U72" s="61">
        <f>sum(J72:T72)</f>
        <v>1737625832</v>
      </c>
    </row>
    <row r="73">
      <c r="U73" s="57">
        <f>U72/U58</f>
        <v>0.5767077933</v>
      </c>
    </row>
    <row r="75">
      <c r="O75" s="1">
        <f>700*10*30</f>
        <v>210000</v>
      </c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3"/>
    </customSheetView>
  </customSheetViews>
  <mergeCells count="1">
    <mergeCell ref="C1:C2"/>
  </mergeCells>
  <conditionalFormatting sqref="H6 H8:H19 H21:H22 H2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51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I2" s="66"/>
      <c r="J2" s="67">
        <v>46000.0</v>
      </c>
      <c r="K2" s="68"/>
      <c r="L2" s="68"/>
      <c r="M2" s="68"/>
      <c r="N2" s="68"/>
      <c r="O2" s="68"/>
      <c r="P2" s="68"/>
      <c r="Q2" s="69"/>
      <c r="R2" s="69"/>
      <c r="S2" s="69"/>
      <c r="T2" s="68"/>
      <c r="U2" s="68"/>
      <c r="V2" s="68"/>
      <c r="W2" s="68"/>
      <c r="X2" s="68"/>
      <c r="Y2" s="68"/>
      <c r="Z2" s="68"/>
      <c r="AA2" s="68"/>
      <c r="AB2" s="68"/>
      <c r="AC2" s="69"/>
      <c r="AD2" s="69"/>
      <c r="AE2" s="69"/>
      <c r="AF2" s="68"/>
      <c r="AG2" s="68"/>
      <c r="AH2" s="68"/>
      <c r="AI2" s="68"/>
      <c r="AJ2" s="68"/>
      <c r="AK2" s="68"/>
      <c r="AL2" s="68"/>
      <c r="AM2" s="68"/>
      <c r="AN2" s="68"/>
    </row>
    <row r="3" ht="44.25" customHeight="1">
      <c r="C3" s="2" t="s">
        <v>2</v>
      </c>
      <c r="D3" s="3"/>
      <c r="E3" s="10"/>
      <c r="F3" s="11">
        <f t="shared" ref="F3:G3" si="1">J3</f>
        <v>45992</v>
      </c>
      <c r="G3" s="11">
        <f t="shared" si="1"/>
        <v>45962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2">J6</f>
        <v>54618939.44</v>
      </c>
      <c r="G6" s="31">
        <f t="shared" si="2"/>
        <v>54210408.17</v>
      </c>
      <c r="H6" s="32">
        <f>IFERROR(F6/G6-1,"-")</f>
        <v>0.007536030286</v>
      </c>
      <c r="I6" s="30"/>
      <c r="J6" s="31">
        <v>5.461893944444445E7</v>
      </c>
      <c r="K6" s="31">
        <v>5.4210408166666664E7</v>
      </c>
      <c r="L6" s="31">
        <v>5.215687351612903E7</v>
      </c>
      <c r="M6" s="31">
        <v>5.099105093333333E7</v>
      </c>
      <c r="N6" s="31">
        <v>4.9075212741935484E7</v>
      </c>
      <c r="O6" s="31">
        <v>4.963510167741936E7</v>
      </c>
      <c r="P6" s="31">
        <v>4.7962512833333336E7</v>
      </c>
      <c r="Q6" s="31">
        <v>4.768247241935484E7</v>
      </c>
      <c r="R6" s="31">
        <v>4.67858577E7</v>
      </c>
      <c r="S6" s="31">
        <v>5.029811651612903E7</v>
      </c>
      <c r="T6" s="31">
        <v>4.703907796428572E7</v>
      </c>
      <c r="U6" s="31">
        <v>4.594081180645161E7</v>
      </c>
      <c r="V6" s="31">
        <v>4.779143877419355E7</v>
      </c>
      <c r="W6" s="31">
        <v>4.631298653333333E7</v>
      </c>
      <c r="X6" s="31">
        <v>4.496980938709678E7</v>
      </c>
      <c r="Y6" s="31">
        <v>4.448331793333333E7</v>
      </c>
      <c r="Z6" s="31">
        <v>4.400181003225806E7</v>
      </c>
      <c r="AA6" s="31">
        <v>4.3099563161290325E7</v>
      </c>
      <c r="AB6" s="31">
        <v>4.215911196666667E7</v>
      </c>
      <c r="AC6" s="31">
        <v>4.183180464516129E7</v>
      </c>
      <c r="AD6" s="31">
        <v>4.179117513333333E7</v>
      </c>
      <c r="AE6" s="31">
        <v>4.433386232258064E7</v>
      </c>
      <c r="AF6" s="31">
        <v>4.073144037931035E7</v>
      </c>
      <c r="AG6" s="31">
        <v>4.014836070967742E7</v>
      </c>
      <c r="AH6" s="31">
        <v>4.086231612903226E7</v>
      </c>
      <c r="AI6" s="31">
        <v>4.0996368766666666E7</v>
      </c>
      <c r="AJ6" s="31">
        <v>3.9489412161290325E7</v>
      </c>
      <c r="AK6" s="31">
        <v>3.64898096E7</v>
      </c>
      <c r="AL6" s="31">
        <v>3.471740167741936E7</v>
      </c>
      <c r="AM6" s="31">
        <v>3.3316419548387095E7</v>
      </c>
      <c r="AN6" s="31">
        <v>3.15059556E7</v>
      </c>
      <c r="AO6" s="31">
        <v>3.1274689451612905E7</v>
      </c>
      <c r="AP6" s="31">
        <v>3.26310458E7</v>
      </c>
      <c r="AQ6" s="31">
        <v>3.1086946096774194E7</v>
      </c>
      <c r="AR6" s="31">
        <v>2.906416685714286E7</v>
      </c>
      <c r="AS6" s="31">
        <v>2.8853648903225806E7</v>
      </c>
      <c r="AT6" s="31">
        <v>2.9821327322580647E7</v>
      </c>
      <c r="AU6" s="31">
        <v>3.03141244E7</v>
      </c>
      <c r="AV6" s="31">
        <v>3.0334318E7</v>
      </c>
      <c r="AW6" s="31">
        <v>3.1204807266666666E7</v>
      </c>
      <c r="AX6" s="31">
        <v>3.0285049322580647E7</v>
      </c>
      <c r="AY6" s="33">
        <v>3.0024864322580647E7</v>
      </c>
      <c r="AZ6" s="33">
        <v>2.9995463933333334E7</v>
      </c>
      <c r="BA6" s="33">
        <v>2.9077319E7</v>
      </c>
      <c r="BB6" s="33">
        <v>3.1244243666666668E7</v>
      </c>
      <c r="BC6" s="33">
        <v>2.810125280645161E7</v>
      </c>
      <c r="BD6" s="33">
        <v>2.715583132142857E7</v>
      </c>
      <c r="BE6" s="33">
        <v>2.6550723612903226E7</v>
      </c>
    </row>
    <row r="7">
      <c r="D7" s="3"/>
      <c r="F7" s="4"/>
      <c r="G7" s="4"/>
      <c r="H7" s="5"/>
      <c r="J7" s="43"/>
      <c r="K7" s="43"/>
      <c r="L7" s="35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3">J8</f>
        <v>9299773.444</v>
      </c>
      <c r="G8" s="31">
        <f t="shared" si="3"/>
        <v>9167240.867</v>
      </c>
      <c r="H8" s="32">
        <f t="shared" ref="H8:H12" si="5">IFERROR(F8/G8-1,"-")</f>
        <v>0.0144571938</v>
      </c>
      <c r="I8" s="30"/>
      <c r="J8" s="31">
        <v>9299773.444444444</v>
      </c>
      <c r="K8" s="31">
        <v>9167240.866666667</v>
      </c>
      <c r="L8" s="31">
        <v>8617724.032258065</v>
      </c>
      <c r="M8" s="31">
        <v>8211149.266666667</v>
      </c>
      <c r="N8" s="31">
        <v>7936886.548387097</v>
      </c>
      <c r="O8" s="31">
        <v>8431891.322580645</v>
      </c>
      <c r="P8" s="31">
        <v>7881957.233333333</v>
      </c>
      <c r="Q8" s="31">
        <v>7619089.870967742</v>
      </c>
      <c r="R8" s="31">
        <v>7348113.366666666</v>
      </c>
      <c r="S8" s="31">
        <v>8526228.64516129</v>
      </c>
      <c r="T8" s="31">
        <v>7329374.285714285</v>
      </c>
      <c r="U8" s="31">
        <v>6624036.096774193</v>
      </c>
      <c r="V8" s="31">
        <v>7080341.741935484</v>
      </c>
      <c r="W8" s="31">
        <v>6896363.1</v>
      </c>
      <c r="X8" s="31">
        <v>6661934.516129033</v>
      </c>
      <c r="Y8" s="31">
        <v>6474075.233333333</v>
      </c>
      <c r="Z8" s="31">
        <v>6384100.258064516</v>
      </c>
      <c r="AA8" s="31">
        <v>6267046.0</v>
      </c>
      <c r="AB8" s="31">
        <v>5842865.366666666</v>
      </c>
      <c r="AC8" s="31">
        <v>5605666.580645162</v>
      </c>
      <c r="AD8" s="31">
        <v>5548449.166666667</v>
      </c>
      <c r="AE8" s="31">
        <v>7142240.838709678</v>
      </c>
      <c r="AF8" s="31">
        <v>5488059.689655173</v>
      </c>
      <c r="AG8" s="31">
        <v>5111627.9677419355</v>
      </c>
      <c r="AH8" s="31">
        <v>5382372.322580645</v>
      </c>
      <c r="AI8" s="31">
        <v>5417933.9</v>
      </c>
      <c r="AJ8" s="36">
        <v>5691790.612903226</v>
      </c>
      <c r="AK8" s="36">
        <v>5382215.0</v>
      </c>
      <c r="AL8" s="36">
        <v>5305792.451612903</v>
      </c>
      <c r="AM8" s="36">
        <v>4949592.774193549</v>
      </c>
      <c r="AN8" s="36">
        <v>4172989.6666666665</v>
      </c>
      <c r="AO8" s="36">
        <v>4003641.193548387</v>
      </c>
      <c r="AP8" s="36">
        <v>4423284.966666667</v>
      </c>
      <c r="AQ8" s="36">
        <v>4170947.5161290322</v>
      </c>
      <c r="AR8" s="36">
        <v>3509372.3571428573</v>
      </c>
      <c r="AS8" s="36">
        <v>3374318.580645161</v>
      </c>
      <c r="AT8" s="36">
        <v>3440722.580645161</v>
      </c>
      <c r="AU8" s="36">
        <v>3477646.6333333333</v>
      </c>
      <c r="AV8" s="36">
        <v>3572391.7741935486</v>
      </c>
      <c r="AW8" s="36">
        <v>3910777.533333333</v>
      </c>
      <c r="AX8" s="36">
        <v>4028777.4838709678</v>
      </c>
      <c r="AY8" s="37">
        <v>4135524.2580645164</v>
      </c>
      <c r="AZ8" s="37">
        <v>4039152.1666666665</v>
      </c>
      <c r="BA8" s="37">
        <v>3735740.2258064514</v>
      </c>
      <c r="BB8" s="37">
        <v>4730740.333333333</v>
      </c>
      <c r="BC8" s="37">
        <v>3739082.5161290322</v>
      </c>
      <c r="BD8" s="37">
        <v>3417895.6428571427</v>
      </c>
      <c r="BE8" s="37">
        <v>3195191.7741935486</v>
      </c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4">J9</f>
        <v>0.1702664596</v>
      </c>
      <c r="G9" s="40">
        <f t="shared" si="4"/>
        <v>0.1691048117</v>
      </c>
      <c r="H9" s="32">
        <f t="shared" si="5"/>
        <v>0.006869395536</v>
      </c>
      <c r="I9" s="30"/>
      <c r="J9" s="40">
        <v>0.1702664595658012</v>
      </c>
      <c r="K9" s="40">
        <v>0.1691048117269756</v>
      </c>
      <c r="L9" s="40">
        <v>0.16522700559482564</v>
      </c>
      <c r="M9" s="40">
        <v>0.16103118324433202</v>
      </c>
      <c r="N9" s="40">
        <v>0.16172902988976576</v>
      </c>
      <c r="O9" s="40">
        <v>0.16987758738523126</v>
      </c>
      <c r="P9" s="40">
        <v>0.16433578575673527</v>
      </c>
      <c r="Q9" s="40">
        <v>0.15978806224559508</v>
      </c>
      <c r="R9" s="40">
        <v>0.15705843021590402</v>
      </c>
      <c r="S9" s="40">
        <v>0.16951387518511146</v>
      </c>
      <c r="T9" s="40">
        <v>0.1558145823198127</v>
      </c>
      <c r="U9" s="40">
        <v>0.14418630921632863</v>
      </c>
      <c r="V9" s="40">
        <v>0.14815083880167115</v>
      </c>
      <c r="W9" s="40">
        <v>0.1489077603543535</v>
      </c>
      <c r="X9" s="40">
        <v>0.14814237834062394</v>
      </c>
      <c r="Y9" s="40">
        <v>0.14553939620771905</v>
      </c>
      <c r="Z9" s="40">
        <v>0.14508721921630685</v>
      </c>
      <c r="AA9" s="40">
        <v>0.14540857355205675</v>
      </c>
      <c r="AB9" s="40">
        <v>0.13859080739856094</v>
      </c>
      <c r="AC9" s="40">
        <v>0.13400489479703984</v>
      </c>
      <c r="AD9" s="40">
        <v>0.13276604807030498</v>
      </c>
      <c r="AE9" s="40">
        <v>0.16110125453860824</v>
      </c>
      <c r="AF9" s="40">
        <v>0.13473767778766912</v>
      </c>
      <c r="AG9" s="40">
        <v>0.12731847271935617</v>
      </c>
      <c r="AH9" s="40">
        <v>0.13171970736031097</v>
      </c>
      <c r="AI9" s="40">
        <v>0.13215643392312382</v>
      </c>
      <c r="AJ9" s="36">
        <v>0.1441345996657461</v>
      </c>
      <c r="AK9" s="36">
        <v>0.14749912534484697</v>
      </c>
      <c r="AL9" s="36">
        <v>0.1528280399815709</v>
      </c>
      <c r="AM9" s="36">
        <v>0.1485631661891221</v>
      </c>
      <c r="AN9" s="36">
        <v>0.13245082039875236</v>
      </c>
      <c r="AO9" s="36">
        <v>0.12801537805012195</v>
      </c>
      <c r="AP9" s="36">
        <v>0.13555449597838715</v>
      </c>
      <c r="AQ9" s="36">
        <v>0.1341703846735154</v>
      </c>
      <c r="AR9" s="36">
        <v>0.12074567196067373</v>
      </c>
      <c r="AS9" s="36">
        <v>0.11694599154382572</v>
      </c>
      <c r="AT9" s="36">
        <v>0.11537791539009913</v>
      </c>
      <c r="AU9" s="36">
        <v>0.11472033918727778</v>
      </c>
      <c r="AV9" s="36">
        <v>0.1177673344821383</v>
      </c>
      <c r="AW9" s="36">
        <v>0.12532612362938292</v>
      </c>
      <c r="AX9" s="36">
        <v>0.13302859245690896</v>
      </c>
      <c r="AY9" s="37">
        <v>0.1377366509847751</v>
      </c>
      <c r="AZ9" s="37">
        <v>0.1346587662602558</v>
      </c>
      <c r="BA9" s="37">
        <v>0.12847608907156988</v>
      </c>
      <c r="BB9" s="37">
        <v>0.15141158108366648</v>
      </c>
      <c r="BC9" s="37">
        <v>0.1330575025206918</v>
      </c>
      <c r="BD9" s="37">
        <v>0.12586230936557974</v>
      </c>
      <c r="BE9" s="37">
        <v>0.12034292627115958</v>
      </c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6">J10</f>
        <v>15672497.67</v>
      </c>
      <c r="G10" s="31">
        <f t="shared" si="6"/>
        <v>15775174.37</v>
      </c>
      <c r="H10" s="32">
        <f t="shared" si="5"/>
        <v>-0.006508752145</v>
      </c>
      <c r="I10" s="30"/>
      <c r="J10" s="31">
        <v>1.5672497666667737E7</v>
      </c>
      <c r="K10" s="31">
        <v>1.5775174366667507E7</v>
      </c>
      <c r="L10" s="31">
        <v>1.4732061870968448E7</v>
      </c>
      <c r="M10" s="31">
        <v>1.3920791500000559E7</v>
      </c>
      <c r="N10" s="31">
        <v>1.3472649290323073E7</v>
      </c>
      <c r="O10" s="31">
        <v>1.4402825446669415E7</v>
      </c>
      <c r="P10" s="31">
        <v>1.3492389066667268E7</v>
      </c>
      <c r="Q10" s="31">
        <v>1.265681041935529E7</v>
      </c>
      <c r="R10" s="31">
        <v>1.2090977433333833E7</v>
      </c>
      <c r="S10" s="31">
        <v>1.4954659419355517E7</v>
      </c>
      <c r="T10" s="31">
        <v>1.2172753857143208E7</v>
      </c>
      <c r="U10" s="31">
        <v>1.070017841935507E7</v>
      </c>
      <c r="V10" s="31">
        <v>1.1893287967742145E7</v>
      </c>
      <c r="W10" s="31">
        <v>1.1349069200000137E7</v>
      </c>
      <c r="X10" s="31">
        <v>1.0832472483871067E7</v>
      </c>
      <c r="Y10" s="31">
        <v>1.053264110000003E7</v>
      </c>
      <c r="Z10" s="31">
        <v>1.0421174806451654E7</v>
      </c>
      <c r="AA10" s="31">
        <v>1.0128015161290344E7</v>
      </c>
      <c r="AB10" s="31">
        <v>9422000.56666657</v>
      </c>
      <c r="AC10" s="31">
        <v>9005296.838709533</v>
      </c>
      <c r="AD10" s="31">
        <v>8914666.266666718</v>
      </c>
      <c r="AE10" s="31">
        <v>1.2135990290322864E7</v>
      </c>
      <c r="AF10" s="31">
        <v>8741179.586206738</v>
      </c>
      <c r="AG10" s="31">
        <v>8004398.677419256</v>
      </c>
      <c r="AH10" s="31">
        <v>8736320.064515928</v>
      </c>
      <c r="AI10" s="31">
        <v>8696138.399999775</v>
      </c>
      <c r="AJ10" s="36">
        <v>9177421.580645025</v>
      </c>
      <c r="AK10" s="36">
        <v>8581383.466666507</v>
      </c>
      <c r="AL10" s="36">
        <v>8303690.999999873</v>
      </c>
      <c r="AM10" s="36">
        <v>7901592.935483734</v>
      </c>
      <c r="AN10" s="36">
        <v>6829151.833333265</v>
      </c>
      <c r="AO10" s="36">
        <v>6359977.129032231</v>
      </c>
      <c r="AP10" s="36">
        <v>7477420.933333327</v>
      </c>
      <c r="AQ10" s="36">
        <v>6891484.774193547</v>
      </c>
      <c r="AR10" s="36">
        <v>5648787.714285717</v>
      </c>
      <c r="AS10" s="36">
        <v>5317797.290322582</v>
      </c>
      <c r="AT10" s="36">
        <v>5593778.032257987</v>
      </c>
      <c r="AU10" s="36">
        <v>5481225.933333338</v>
      </c>
      <c r="AV10" s="36">
        <v>5647150.5161290355</v>
      </c>
      <c r="AW10" s="36">
        <v>6255116.099999916</v>
      </c>
      <c r="AX10" s="36">
        <v>6728266.322580563</v>
      </c>
      <c r="AY10" s="37">
        <v>7062519.032257978</v>
      </c>
      <c r="AZ10" s="37">
        <v>6851324.066666591</v>
      </c>
      <c r="BA10" s="37">
        <v>6154880.48387099</v>
      </c>
      <c r="BB10" s="37">
        <v>8594126.366666557</v>
      </c>
      <c r="BC10" s="37">
        <v>6538882.451612886</v>
      </c>
      <c r="BD10" s="37">
        <v>5785703.6785713965</v>
      </c>
      <c r="BE10" s="37">
        <v>5313141.774193617</v>
      </c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7">J11</f>
        <v>0.2869425482</v>
      </c>
      <c r="G11" s="41">
        <f t="shared" si="7"/>
        <v>0.2909989963</v>
      </c>
      <c r="H11" s="32">
        <f t="shared" si="5"/>
        <v>-0.01393973219</v>
      </c>
      <c r="I11" s="30"/>
      <c r="J11" s="41">
        <v>0.28694254824572324</v>
      </c>
      <c r="K11" s="41">
        <v>0.29099899632129084</v>
      </c>
      <c r="L11" s="41">
        <v>0.2824567670148536</v>
      </c>
      <c r="M11" s="41">
        <v>0.2730046007131892</v>
      </c>
      <c r="N11" s="41">
        <v>0.27453063446040854</v>
      </c>
      <c r="O11" s="41">
        <v>0.29017419044034587</v>
      </c>
      <c r="P11" s="41">
        <v>0.28131113800380847</v>
      </c>
      <c r="Q11" s="41">
        <v>0.26543947444759075</v>
      </c>
      <c r="R11" s="41">
        <v>0.2584323132614887</v>
      </c>
      <c r="S11" s="41">
        <v>0.2973204655597795</v>
      </c>
      <c r="T11" s="41">
        <v>0.2587796016406898</v>
      </c>
      <c r="U11" s="41">
        <v>0.2329122625093101</v>
      </c>
      <c r="V11" s="41">
        <v>0.2488581275808815</v>
      </c>
      <c r="W11" s="41">
        <v>0.2450515514008528</v>
      </c>
      <c r="X11" s="41">
        <v>0.240883219909294</v>
      </c>
      <c r="Y11" s="41">
        <v>0.2367773266325409</v>
      </c>
      <c r="Z11" s="41">
        <v>0.23683513925476726</v>
      </c>
      <c r="AA11" s="41">
        <v>0.2349911325873199</v>
      </c>
      <c r="AB11" s="41">
        <v>0.22348669426709286</v>
      </c>
      <c r="AC11" s="41">
        <v>0.21527392650393773</v>
      </c>
      <c r="AD11" s="41">
        <v>0.21331456313982022</v>
      </c>
      <c r="AE11" s="41">
        <v>0.27374087558668714</v>
      </c>
      <c r="AF11" s="41">
        <v>0.21460521662884394</v>
      </c>
      <c r="AG11" s="41">
        <v>0.19937049822036357</v>
      </c>
      <c r="AH11" s="41">
        <v>0.21379894465426205</v>
      </c>
      <c r="AI11" s="41">
        <v>0.21211972332218929</v>
      </c>
      <c r="AJ11" s="31">
        <v>0.23240208142782215</v>
      </c>
      <c r="AK11" s="31">
        <v>0.23517205380722256</v>
      </c>
      <c r="AL11" s="31">
        <v>0.23917950649517358</v>
      </c>
      <c r="AM11" s="31">
        <v>0.2371681303871161</v>
      </c>
      <c r="AN11" s="31">
        <v>0.21675748928349486</v>
      </c>
      <c r="AO11" s="31">
        <v>0.2033586021332734</v>
      </c>
      <c r="AP11" s="31">
        <v>0.22915051448744334</v>
      </c>
      <c r="AQ11" s="31">
        <v>0.22168419994489766</v>
      </c>
      <c r="AR11" s="31">
        <v>0.19435574197088887</v>
      </c>
      <c r="AS11" s="31">
        <v>0.18430241901668315</v>
      </c>
      <c r="AT11" s="31">
        <v>0.18757642715729794</v>
      </c>
      <c r="AU11" s="31">
        <v>0.1808142587596341</v>
      </c>
      <c r="AV11" s="31">
        <v>0.18616375407316016</v>
      </c>
      <c r="AW11" s="31">
        <v>0.20045360468166398</v>
      </c>
      <c r="AX11" s="31">
        <v>0.22216461498591458</v>
      </c>
      <c r="AY11" s="33">
        <v>0.2352223462654086</v>
      </c>
      <c r="AZ11" s="33">
        <v>0.2284120052916687</v>
      </c>
      <c r="BA11" s="33">
        <v>0.21167290161348745</v>
      </c>
      <c r="BB11" s="33">
        <v>0.27506271101819996</v>
      </c>
      <c r="BC11" s="33">
        <v>0.23269006889656038</v>
      </c>
      <c r="BD11" s="33">
        <v>0.21305566418089797</v>
      </c>
      <c r="BE11" s="33">
        <v>0.20011288022340434</v>
      </c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8">J12</f>
        <v>108042848.1</v>
      </c>
      <c r="G12" s="31">
        <f t="shared" si="8"/>
        <v>107362748</v>
      </c>
      <c r="H12" s="32">
        <f t="shared" si="5"/>
        <v>0.006334599921</v>
      </c>
      <c r="I12" s="30"/>
      <c r="J12" s="31">
        <v>1.0804284805334626E8</v>
      </c>
      <c r="K12" s="31">
        <v>1.0736274799839635E8</v>
      </c>
      <c r="L12" s="31">
        <v>1.0139538488491134E8</v>
      </c>
      <c r="M12" s="31">
        <v>9.582783418610427E7</v>
      </c>
      <c r="N12" s="31">
        <v>9.273422671427971E7</v>
      </c>
      <c r="O12" s="31">
        <v>9.634189977770911E7</v>
      </c>
      <c r="P12" s="31">
        <v>9.084152540556745E7</v>
      </c>
      <c r="Q12" s="31">
        <v>8.68108435796073E7</v>
      </c>
      <c r="R12" s="31">
        <v>8.45462795844353E7</v>
      </c>
      <c r="S12" s="31">
        <v>1.0337518371423419E8</v>
      </c>
      <c r="T12" s="31">
        <v>9.354393255728748E7</v>
      </c>
      <c r="U12" s="31">
        <v>8.813667005129646E7</v>
      </c>
      <c r="V12" s="31">
        <v>9.141797701940528E7</v>
      </c>
      <c r="W12" s="31">
        <v>8.618518823040667E7</v>
      </c>
      <c r="X12" s="31">
        <v>8.474017565234952E7</v>
      </c>
      <c r="Y12" s="31">
        <v>8.157498825992602E7</v>
      </c>
      <c r="Z12" s="31">
        <v>7.702152723879832E7</v>
      </c>
      <c r="AA12" s="31">
        <v>7.630925806069441E7</v>
      </c>
      <c r="AB12" s="31">
        <v>7.272823941714701E7</v>
      </c>
      <c r="AC12" s="31">
        <v>7.396475903230558E7</v>
      </c>
      <c r="AD12" s="31">
        <v>7.149450101025297E7</v>
      </c>
      <c r="AE12" s="31">
        <v>9.16687445741791E7</v>
      </c>
      <c r="AF12" s="31">
        <v>7.248235050185229E7</v>
      </c>
      <c r="AG12" s="31">
        <v>7.004100757673933E7</v>
      </c>
      <c r="AH12" s="31">
        <v>7.586006388446747E7</v>
      </c>
      <c r="AI12" s="31">
        <v>7.433820184144722E7</v>
      </c>
      <c r="AJ12" s="31">
        <v>7.295644630076794E7</v>
      </c>
      <c r="AK12" s="31">
        <v>6.46432500083884E7</v>
      </c>
      <c r="AL12" s="31">
        <v>6.32809377687419E7</v>
      </c>
      <c r="AM12" s="31">
        <v>6.1772586474101216E7</v>
      </c>
      <c r="AN12" s="31">
        <v>5.816882077772347E7</v>
      </c>
      <c r="AO12" s="31">
        <v>5.872896057332471E7</v>
      </c>
      <c r="AP12" s="31">
        <v>6.2753627494331546E7</v>
      </c>
      <c r="AQ12" s="31">
        <v>5.9310013563168384E7</v>
      </c>
      <c r="AR12" s="31">
        <v>5.267800264930629E7</v>
      </c>
      <c r="AS12" s="31">
        <v>4.8711122003803484E7</v>
      </c>
      <c r="AT12" s="31">
        <v>5.1730954166905224E7</v>
      </c>
      <c r="AU12" s="31">
        <v>5.117053079342675E7</v>
      </c>
      <c r="AV12" s="31">
        <v>5.231986529137496E7</v>
      </c>
      <c r="AW12" s="31">
        <v>5.835326507866503E7</v>
      </c>
      <c r="AX12" s="31">
        <v>5.897755353570069E7</v>
      </c>
      <c r="AY12" s="33">
        <v>6.006258956116866E7</v>
      </c>
      <c r="AZ12" s="33">
        <v>5.675269373764615E7</v>
      </c>
      <c r="BA12" s="33">
        <v>5.0166168607864454E7</v>
      </c>
      <c r="BB12" s="33">
        <v>6.99075301000977E7</v>
      </c>
      <c r="BC12" s="33">
        <v>5.426750828029821E7</v>
      </c>
      <c r="BD12" s="33">
        <v>4.945956669351172E7</v>
      </c>
      <c r="BE12" s="33">
        <v>4.855313870530733E7</v>
      </c>
    </row>
    <row r="13">
      <c r="D13" s="3"/>
      <c r="F13" s="4"/>
      <c r="G13" s="4"/>
      <c r="H13" s="5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9">J14</f>
        <v>4021521.993</v>
      </c>
      <c r="G14" s="31">
        <f t="shared" si="9"/>
        <v>3956203.713</v>
      </c>
      <c r="H14" s="32">
        <f t="shared" ref="H14:H16" si="11">IFERROR(F14/G14-1,"-")</f>
        <v>0.01651034292</v>
      </c>
      <c r="I14" s="30"/>
      <c r="J14" s="31">
        <v>4021521.9933095565</v>
      </c>
      <c r="K14" s="31">
        <v>3956203.7133429106</v>
      </c>
      <c r="L14" s="31">
        <v>3508499.695569432</v>
      </c>
      <c r="M14" s="31">
        <v>3311650.6334512597</v>
      </c>
      <c r="N14" s="31">
        <v>3074948.871295171</v>
      </c>
      <c r="O14" s="31">
        <v>3076334.3789143064</v>
      </c>
      <c r="P14" s="31">
        <v>2870880.3595899255</v>
      </c>
      <c r="Q14" s="31">
        <v>2514048.8761107023</v>
      </c>
      <c r="R14" s="31">
        <v>2285437.993669759</v>
      </c>
      <c r="S14" s="31">
        <v>2796795.274134502</v>
      </c>
      <c r="T14" s="31">
        <v>2421795.824557735</v>
      </c>
      <c r="U14" s="31">
        <v>2273250.862587734</v>
      </c>
      <c r="V14" s="31">
        <v>2458682.5686465884</v>
      </c>
      <c r="W14" s="31">
        <v>2245772.7448336477</v>
      </c>
      <c r="X14" s="31">
        <v>2139772.1278781467</v>
      </c>
      <c r="Y14" s="31">
        <v>1971253.814917891</v>
      </c>
      <c r="Z14" s="31">
        <v>1734083.509996469</v>
      </c>
      <c r="AA14" s="31">
        <v>1647179.4637047253</v>
      </c>
      <c r="AB14" s="31">
        <v>1559243.7848917951</v>
      </c>
      <c r="AC14" s="31">
        <v>1459845.3509558972</v>
      </c>
      <c r="AD14" s="31">
        <v>1354327.2555568663</v>
      </c>
      <c r="AE14" s="31">
        <v>1689229.5315410246</v>
      </c>
      <c r="AF14" s="31">
        <v>1355750.415142496</v>
      </c>
      <c r="AG14" s="31">
        <v>1322915.9979598324</v>
      </c>
      <c r="AH14" s="31">
        <v>1398208.0751092238</v>
      </c>
      <c r="AI14" s="31">
        <v>1233219.176086366</v>
      </c>
      <c r="AJ14" s="36">
        <v>1190141.1671102806</v>
      </c>
      <c r="AK14" s="36">
        <v>1078075.590275616</v>
      </c>
      <c r="AL14" s="36">
        <v>1013919.4235871244</v>
      </c>
      <c r="AM14" s="36">
        <v>997804.7751083798</v>
      </c>
      <c r="AN14" s="36">
        <v>939375.3969751616</v>
      </c>
      <c r="AO14" s="36">
        <v>897325.2235996616</v>
      </c>
      <c r="AP14" s="36">
        <v>952656.4993937353</v>
      </c>
      <c r="AQ14" s="36">
        <v>954777.9199454538</v>
      </c>
      <c r="AR14" s="36">
        <v>845753.3315844046</v>
      </c>
      <c r="AS14" s="36">
        <v>784579.2445057612</v>
      </c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C15" s="28" t="s">
        <v>16</v>
      </c>
      <c r="D15" s="39" t="s">
        <v>10</v>
      </c>
      <c r="E15" s="30"/>
      <c r="F15" s="40">
        <f t="shared" ref="F15:G15" si="10">J15</f>
        <v>0.03722154743</v>
      </c>
      <c r="G15" s="40">
        <f t="shared" si="10"/>
        <v>0.03684894237</v>
      </c>
      <c r="H15" s="32">
        <f t="shared" si="11"/>
        <v>0.01011168949</v>
      </c>
      <c r="J15" s="40">
        <v>0.03722154743018183</v>
      </c>
      <c r="K15" s="40">
        <v>0.036848942366881327</v>
      </c>
      <c r="L15" s="40">
        <v>0.03460216359503688</v>
      </c>
      <c r="M15" s="40">
        <v>0.03455833747656036</v>
      </c>
      <c r="N15" s="40">
        <v>0.033158726613090675</v>
      </c>
      <c r="O15" s="40">
        <v>0.03193142740606498</v>
      </c>
      <c r="P15" s="40">
        <v>0.03160317208207048</v>
      </c>
      <c r="Q15" s="40">
        <v>0.028960078861637473</v>
      </c>
      <c r="R15" s="40">
        <v>0.027031798500220475</v>
      </c>
      <c r="S15" s="40">
        <v>0.027054803422316902</v>
      </c>
      <c r="T15" s="40">
        <v>0.025889395050551215</v>
      </c>
      <c r="U15" s="40">
        <v>0.025792338889870453</v>
      </c>
      <c r="V15" s="40">
        <v>0.026894957084039217</v>
      </c>
      <c r="W15" s="40">
        <v>0.02605752555566532</v>
      </c>
      <c r="X15" s="40">
        <v>0.02525097583767894</v>
      </c>
      <c r="Y15" s="40">
        <v>0.02416492918928529</v>
      </c>
      <c r="Z15" s="40">
        <v>0.022514270648257843</v>
      </c>
      <c r="AA15" s="40">
        <v>0.02158557828454578</v>
      </c>
      <c r="AB15" s="40">
        <v>0.021439317071164726</v>
      </c>
      <c r="AC15" s="40">
        <v>0.01973703923402604</v>
      </c>
      <c r="AD15" s="75">
        <v>0.01894309683149818</v>
      </c>
      <c r="AE15" s="75">
        <v>0.018427540808896824</v>
      </c>
      <c r="AF15" s="75">
        <v>0.018704559189313952</v>
      </c>
      <c r="AG15" s="43">
        <v>0.01888773511018385</v>
      </c>
      <c r="AH15" s="43">
        <v>0.018431411779967013</v>
      </c>
      <c r="AI15" s="43">
        <v>0.01658930597644326</v>
      </c>
      <c r="AJ15" s="43">
        <v>0.01631303644099991</v>
      </c>
      <c r="AK15" s="43">
        <v>0.016677311090264182</v>
      </c>
      <c r="AL15" s="43">
        <v>0.016022509452885473</v>
      </c>
      <c r="AM15" s="43">
        <v>0.01615287350039519</v>
      </c>
      <c r="AN15" s="43">
        <v>0.016149122234482498</v>
      </c>
      <c r="AO15" s="43">
        <v>0.015279092543777045</v>
      </c>
      <c r="AP15" s="43">
        <v>0.015180899295101108</v>
      </c>
      <c r="AQ15" s="43">
        <v>0.0160980897252462</v>
      </c>
      <c r="AR15" s="43">
        <v>0.016055151848008462</v>
      </c>
      <c r="AS15" s="43">
        <v>0.016106778333796114</v>
      </c>
    </row>
    <row r="16">
      <c r="A16" s="26"/>
      <c r="B16" s="27" t="s">
        <v>7</v>
      </c>
      <c r="C16" s="28" t="s">
        <v>17</v>
      </c>
      <c r="D16" s="29" t="s">
        <v>6</v>
      </c>
      <c r="E16" s="30"/>
      <c r="F16" s="36">
        <f t="shared" ref="F16:G16" si="12">J16</f>
        <v>8.289532685</v>
      </c>
      <c r="G16" s="36">
        <f t="shared" si="12"/>
        <v>8.387493107</v>
      </c>
      <c r="H16" s="32">
        <f t="shared" si="11"/>
        <v>-0.01167934462</v>
      </c>
      <c r="I16" s="30"/>
      <c r="J16" s="36">
        <v>8.289532684758653</v>
      </c>
      <c r="K16" s="36">
        <v>8.387493107266645</v>
      </c>
      <c r="L16" s="36">
        <v>8.479908631545381</v>
      </c>
      <c r="M16" s="36">
        <v>8.279287249447222</v>
      </c>
      <c r="N16" s="36">
        <v>8.009993401323058</v>
      </c>
      <c r="O16" s="36">
        <v>8.17176297402111</v>
      </c>
      <c r="P16" s="36">
        <v>8.45626371191539</v>
      </c>
      <c r="Q16" s="36">
        <v>8.135694396388498</v>
      </c>
      <c r="R16" s="36">
        <v>8.370121532131193</v>
      </c>
      <c r="S16" s="36">
        <v>8.274234941863668</v>
      </c>
      <c r="T16" s="36">
        <v>7.779274862952356</v>
      </c>
      <c r="U16" s="36">
        <v>7.767838719275723</v>
      </c>
      <c r="V16" s="36">
        <v>7.432021884078496</v>
      </c>
      <c r="W16" s="36">
        <v>7.231999829162541</v>
      </c>
      <c r="X16" s="36">
        <v>6.996490963700968</v>
      </c>
      <c r="Y16" s="36">
        <v>7.071815984088715</v>
      </c>
      <c r="Z16" s="36">
        <v>7.142179906499387</v>
      </c>
      <c r="AA16" s="36">
        <v>6.809350378620987</v>
      </c>
      <c r="AB16" s="36">
        <v>6.414170682986889</v>
      </c>
      <c r="AC16" s="36">
        <v>6.395779704560243</v>
      </c>
      <c r="AD16" s="36">
        <v>6.4790231758584955</v>
      </c>
      <c r="AE16" s="36">
        <v>6.261017019381282</v>
      </c>
      <c r="AF16" s="36">
        <v>5.955000040891749</v>
      </c>
      <c r="AG16" s="36">
        <v>5.893426799383938</v>
      </c>
      <c r="AH16" s="36">
        <v>5.957598441661175</v>
      </c>
      <c r="AI16" s="40">
        <v>6.289187753403571</v>
      </c>
      <c r="AJ16" s="36">
        <v>6.440765257159017</v>
      </c>
      <c r="AK16" s="36">
        <v>6.423808680488561</v>
      </c>
      <c r="AL16" s="36">
        <v>6.5417707024844844</v>
      </c>
      <c r="AM16" s="36">
        <v>6.3809700874559665</v>
      </c>
      <c r="AN16" s="36">
        <v>6.303931080867622</v>
      </c>
      <c r="AO16" s="36">
        <v>6.343946886468314</v>
      </c>
      <c r="AP16" s="36">
        <v>6.390858494192354</v>
      </c>
      <c r="AQ16" s="36">
        <v>6.01054601072792</v>
      </c>
      <c r="AR16" s="36">
        <v>6.050251039375312</v>
      </c>
      <c r="AS16" s="36">
        <v>5.839919691812666</v>
      </c>
      <c r="AT16" s="36"/>
      <c r="AU16" s="36"/>
      <c r="AV16" s="36"/>
      <c r="AW16" s="36"/>
      <c r="AX16" s="36"/>
      <c r="AY16" s="37"/>
      <c r="AZ16" s="37"/>
      <c r="BA16" s="37"/>
      <c r="BB16" s="37"/>
      <c r="BC16" s="37"/>
      <c r="BD16" s="37"/>
      <c r="BE16" s="37"/>
    </row>
    <row r="17">
      <c r="D17" s="3"/>
      <c r="F17" s="4"/>
      <c r="G17" s="4"/>
      <c r="H17" s="5"/>
      <c r="J17" s="43"/>
      <c r="K17" s="75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3">J18</f>
        <v>3841066.877</v>
      </c>
      <c r="G18" s="31">
        <f t="shared" si="13"/>
        <v>3775870.856</v>
      </c>
      <c r="H18" s="32">
        <f t="shared" ref="H18:H19" si="15">IFERROR(F18/G18-1,"-")</f>
        <v>0.01726648575</v>
      </c>
      <c r="I18" s="30"/>
      <c r="J18" s="31">
        <v>3841066.87672028</v>
      </c>
      <c r="K18" s="31">
        <v>3775870.85637106</v>
      </c>
      <c r="L18" s="31">
        <v>3337641.95999862</v>
      </c>
      <c r="M18" s="31">
        <v>3134254.22924843</v>
      </c>
      <c r="N18" s="31">
        <v>2956712.68018341</v>
      </c>
      <c r="O18" s="31">
        <v>2979402.19496799</v>
      </c>
      <c r="P18" s="31">
        <v>2781206.23445017</v>
      </c>
      <c r="Q18" s="31">
        <v>2441520.89695166</v>
      </c>
      <c r="R18" s="31">
        <v>2224095.86702885</v>
      </c>
      <c r="S18" s="31">
        <v>2688034.18039712</v>
      </c>
      <c r="T18" s="31">
        <v>2329339.67012639</v>
      </c>
      <c r="U18" s="31">
        <v>2195501.96005249</v>
      </c>
      <c r="V18" s="31">
        <v>2348002.96997259</v>
      </c>
      <c r="W18" s="31">
        <v>2132807.16392069</v>
      </c>
      <c r="X18" s="31">
        <v>2023718.72622472</v>
      </c>
      <c r="Y18" s="31">
        <v>1865575.85621358</v>
      </c>
      <c r="Z18" s="31">
        <v>1638760.53591504</v>
      </c>
      <c r="AA18" s="31">
        <v>1559213.28304388</v>
      </c>
      <c r="AB18" s="31">
        <v>1491583.37349175</v>
      </c>
      <c r="AC18" s="31">
        <v>1397256.95747207</v>
      </c>
      <c r="AD18" s="31">
        <v>1282471.50579058</v>
      </c>
      <c r="AE18" s="31"/>
      <c r="AF18" s="31"/>
      <c r="AG18" s="31"/>
      <c r="AH18" s="31"/>
      <c r="AI18" s="31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C19" s="28" t="s">
        <v>19</v>
      </c>
      <c r="D19" s="39" t="s">
        <v>10</v>
      </c>
      <c r="E19" s="30"/>
      <c r="F19" s="40">
        <f t="shared" ref="F19:G19" si="14">J19</f>
        <v>0.03555132937</v>
      </c>
      <c r="G19" s="40">
        <f t="shared" si="14"/>
        <v>0.03516928289</v>
      </c>
      <c r="H19" s="32">
        <f t="shared" si="15"/>
        <v>0.01086307261</v>
      </c>
      <c r="J19" s="58">
        <v>0.0355513293653991</v>
      </c>
      <c r="K19" s="58">
        <v>0.0351692828915618</v>
      </c>
      <c r="L19" s="58">
        <v>0.0329170993708146</v>
      </c>
      <c r="M19" s="58">
        <v>0.0327071383368792</v>
      </c>
      <c r="N19" s="58">
        <v>0.0318837260517979</v>
      </c>
      <c r="O19" s="58">
        <v>0.030925300433585</v>
      </c>
      <c r="P19" s="58">
        <v>0.0306160230360874</v>
      </c>
      <c r="Q19" s="58">
        <v>0.0281246074370045</v>
      </c>
      <c r="R19" s="58">
        <v>0.0263062535449319</v>
      </c>
      <c r="S19" s="58">
        <v>0.0260027028133541</v>
      </c>
      <c r="T19" s="58">
        <v>0.0249010235773429</v>
      </c>
      <c r="U19" s="58">
        <v>0.024910198658228</v>
      </c>
      <c r="V19" s="58">
        <v>0.0256842586822303</v>
      </c>
      <c r="W19" s="58">
        <v>0.0247467947533962</v>
      </c>
      <c r="X19" s="58">
        <v>0.0238814554093813</v>
      </c>
      <c r="Y19" s="58">
        <v>0.0228694590830857</v>
      </c>
      <c r="Z19" s="58">
        <v>0.0212766559514486</v>
      </c>
      <c r="AA19" s="58">
        <v>0.0204328193284716</v>
      </c>
      <c r="AB19" s="58">
        <v>0.0205089987801917</v>
      </c>
      <c r="AC19" s="58">
        <v>0.0188908471514359</v>
      </c>
      <c r="AD19" s="59">
        <v>0.0179380440127369</v>
      </c>
      <c r="AE19" s="43"/>
      <c r="AF19" s="43"/>
    </row>
    <row r="20">
      <c r="D20" s="3"/>
      <c r="F20" s="4"/>
      <c r="G20" s="4"/>
      <c r="H20" s="5"/>
      <c r="J20" s="43"/>
      <c r="K20" s="75"/>
      <c r="L20" s="43"/>
      <c r="M20" s="43"/>
      <c r="N20" s="75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6">J21</f>
        <v>3841066.877</v>
      </c>
      <c r="G21" s="31">
        <f t="shared" si="16"/>
        <v>3775870.856</v>
      </c>
      <c r="H21" s="32">
        <f t="shared" ref="H21:H22" si="18">IFERROR(F21/G21-1,"-")</f>
        <v>0.01726648575</v>
      </c>
      <c r="I21" s="30"/>
      <c r="J21" s="31">
        <v>3841066.87672028</v>
      </c>
      <c r="K21" s="31">
        <v>3775870.85637106</v>
      </c>
      <c r="L21" s="31">
        <v>3337641.95999862</v>
      </c>
      <c r="M21" s="31">
        <v>3134254.22924843</v>
      </c>
      <c r="N21" s="31">
        <v>2956712.68018341</v>
      </c>
      <c r="O21" s="31">
        <v>2979402.19496799</v>
      </c>
      <c r="P21" s="31">
        <v>2781206.23445017</v>
      </c>
      <c r="Q21" s="31">
        <v>2441520.89695166</v>
      </c>
      <c r="R21" s="31">
        <v>2224095.86702885</v>
      </c>
      <c r="S21" s="31">
        <v>2688034.18039712</v>
      </c>
      <c r="T21" s="31">
        <v>2329339.67012639</v>
      </c>
      <c r="U21" s="31">
        <v>2195501.9677204</v>
      </c>
      <c r="V21" s="31">
        <v>2348017.25888719</v>
      </c>
      <c r="W21" s="31">
        <v>2132868.37573623</v>
      </c>
      <c r="X21" s="31">
        <v>2023834.50694649</v>
      </c>
      <c r="Y21" s="31">
        <v>1865751.3593072</v>
      </c>
      <c r="Z21" s="31">
        <v>1638823.13477319</v>
      </c>
      <c r="AA21" s="31">
        <v>1559330.75212062</v>
      </c>
      <c r="AB21" s="31">
        <v>1491616.61344848</v>
      </c>
      <c r="AC21" s="31">
        <v>1397267.47880344</v>
      </c>
      <c r="AD21" s="31">
        <v>1282474.02345569</v>
      </c>
      <c r="AE21" s="31"/>
      <c r="AF21" s="31"/>
      <c r="AG21" s="31"/>
      <c r="AH21" s="31"/>
      <c r="AI21" s="31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C22" s="28" t="s">
        <v>21</v>
      </c>
      <c r="D22" s="39" t="s">
        <v>10</v>
      </c>
      <c r="E22" s="30"/>
      <c r="F22" s="40">
        <f t="shared" ref="F22:G22" si="17">J22</f>
        <v>0.03555132937</v>
      </c>
      <c r="G22" s="40">
        <f t="shared" si="17"/>
        <v>0.03516928289</v>
      </c>
      <c r="H22" s="32">
        <f t="shared" si="18"/>
        <v>0.01086307261</v>
      </c>
      <c r="J22" s="58">
        <v>0.0355513293653991</v>
      </c>
      <c r="K22" s="58">
        <v>0.0351692828915618</v>
      </c>
      <c r="L22" s="58">
        <v>0.0329170993708146</v>
      </c>
      <c r="M22" s="58">
        <v>0.0327071383368792</v>
      </c>
      <c r="N22" s="58">
        <v>0.0318837260517979</v>
      </c>
      <c r="O22" s="58">
        <v>0.030925300433585</v>
      </c>
      <c r="P22" s="58">
        <v>0.0306160230360874</v>
      </c>
      <c r="Q22" s="58">
        <v>0.0281246074370045</v>
      </c>
      <c r="R22" s="58">
        <v>0.0263062535449319</v>
      </c>
      <c r="S22" s="58">
        <v>0.0260027028133541</v>
      </c>
      <c r="T22" s="58">
        <v>0.0249010235773429</v>
      </c>
      <c r="U22" s="58">
        <v>0.0249101987452283</v>
      </c>
      <c r="V22" s="58">
        <v>0.0256844149853456</v>
      </c>
      <c r="W22" s="58">
        <v>0.0247475049893055</v>
      </c>
      <c r="X22" s="58">
        <v>0.0238828217119748</v>
      </c>
      <c r="Y22" s="58">
        <v>0.0228716105157413</v>
      </c>
      <c r="Z22" s="58">
        <v>0.0212774686964096</v>
      </c>
      <c r="AA22" s="58">
        <v>0.0204343587101891</v>
      </c>
      <c r="AB22" s="58">
        <v>0.0205094558235216</v>
      </c>
      <c r="AC22" s="58">
        <v>0.0188909893993322</v>
      </c>
      <c r="AD22" s="59">
        <v>0.0179380792275447</v>
      </c>
      <c r="AE22" s="43"/>
      <c r="AF22" s="43"/>
    </row>
    <row r="23">
      <c r="D23" s="3"/>
      <c r="F23" s="4"/>
      <c r="G23" s="4"/>
      <c r="H23" s="5"/>
      <c r="J23" s="61"/>
      <c r="K23" s="6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61"/>
      <c r="W23" s="61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19">J24</f>
        <v>7906537.936</v>
      </c>
      <c r="G24" s="31">
        <f t="shared" si="19"/>
        <v>8037847.421</v>
      </c>
      <c r="H24" s="32">
        <f t="shared" ref="H24:H26" si="21">IFERROR(F24/G24-1,"-")</f>
        <v>-0.0163363994</v>
      </c>
      <c r="I24" s="30"/>
      <c r="J24" s="31">
        <v>7906537.935679945</v>
      </c>
      <c r="K24" s="31">
        <v>8037847.421470391</v>
      </c>
      <c r="L24" s="31">
        <v>7453210.941946906</v>
      </c>
      <c r="M24" s="31">
        <v>6936257.674039173</v>
      </c>
      <c r="N24" s="31">
        <v>6717889.136333314</v>
      </c>
      <c r="O24" s="31">
        <v>7020840.087302334</v>
      </c>
      <c r="P24" s="31">
        <v>6691928.304376551</v>
      </c>
      <c r="Q24" s="31">
        <v>6136841.611029354</v>
      </c>
      <c r="R24" s="31">
        <v>5838252.711325928</v>
      </c>
      <c r="S24" s="31">
        <v>7598556.1984555805</v>
      </c>
      <c r="T24" s="31">
        <v>6078019.573533973</v>
      </c>
      <c r="U24" s="31">
        <v>5802082.767757344</v>
      </c>
      <c r="V24" s="31">
        <v>6116486.937220907</v>
      </c>
      <c r="W24" s="31">
        <v>5712392.059566527</v>
      </c>
      <c r="X24" s="31">
        <v>5615767.054681961</v>
      </c>
      <c r="Y24" s="31">
        <v>5398553.257334172</v>
      </c>
      <c r="Z24" s="31">
        <v>4241870.507838598</v>
      </c>
      <c r="AA24" s="31">
        <v>4116570.3990743007</v>
      </c>
      <c r="AB24" s="31">
        <v>3897195.1962435814</v>
      </c>
      <c r="AC24" s="31">
        <v>3914972.501561987</v>
      </c>
      <c r="AD24" s="31">
        <v>3796230.6381514715</v>
      </c>
      <c r="AE24" s="31">
        <v>5063331.7676324705</v>
      </c>
      <c r="AF24" s="31">
        <v>3826420.0486822417</v>
      </c>
      <c r="AG24" s="31">
        <v>3683511.3093717396</v>
      </c>
      <c r="AH24" s="31">
        <v>3814808.710815658</v>
      </c>
      <c r="AI24" s="31">
        <v>2900494.1086150873</v>
      </c>
      <c r="AJ24" s="31">
        <v>2816336.283616169</v>
      </c>
      <c r="AK24" s="31">
        <v>2536967.042475378</v>
      </c>
      <c r="AL24" s="36">
        <v>2476240.7151843742</v>
      </c>
      <c r="AM24" s="36">
        <v>2430733.9659722433</v>
      </c>
      <c r="AN24" s="36">
        <v>2221500.4472809606</v>
      </c>
      <c r="AO24" s="36">
        <v>2192983.0539126503</v>
      </c>
      <c r="AP24" s="36">
        <v>2425406.554702087</v>
      </c>
      <c r="AQ24" s="36">
        <v>2276819.1710207053</v>
      </c>
      <c r="AR24" s="36">
        <v>1968976.9434037711</v>
      </c>
      <c r="AS24" s="36">
        <v>1810007.8115107692</v>
      </c>
      <c r="AT24" s="36">
        <v>1242313.9177333992</v>
      </c>
      <c r="AU24" s="36">
        <v>1217465.247421303</v>
      </c>
      <c r="AV24" s="36">
        <v>1231948.9823436213</v>
      </c>
      <c r="AW24" s="36">
        <v>1363854.8701320812</v>
      </c>
      <c r="AX24" s="36">
        <v>1391032.4431814793</v>
      </c>
      <c r="AY24" s="37">
        <v>1418095.724847045</v>
      </c>
      <c r="AZ24" s="37">
        <v>1349382.621916917</v>
      </c>
      <c r="BA24" s="37">
        <v>1201313.8940512978</v>
      </c>
      <c r="BB24" s="37">
        <v>1735896.5565474273</v>
      </c>
      <c r="BC24" s="37">
        <v>1276425.397364883</v>
      </c>
      <c r="BD24" s="37">
        <v>956597.8875573399</v>
      </c>
      <c r="BE24" s="37">
        <v>771929.3094981825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20">J25</f>
        <v>0.0731796512</v>
      </c>
      <c r="G25" s="40">
        <f t="shared" si="20"/>
        <v>0.07486626014</v>
      </c>
      <c r="H25" s="50">
        <f t="shared" si="21"/>
        <v>-0.02252829161</v>
      </c>
      <c r="I25" s="49"/>
      <c r="J25" s="40">
        <v>0.07317965120445626</v>
      </c>
      <c r="K25" s="40">
        <v>0.0748662601444446</v>
      </c>
      <c r="L25" s="40">
        <v>0.07350641205619625</v>
      </c>
      <c r="M25" s="40">
        <v>0.07238249442816877</v>
      </c>
      <c r="N25" s="40">
        <v>0.07244239127621752</v>
      </c>
      <c r="O25" s="40">
        <v>0.07287421260636968</v>
      </c>
      <c r="P25" s="40">
        <v>0.07366596140366462</v>
      </c>
      <c r="Q25" s="40">
        <v>0.0706921089345451</v>
      </c>
      <c r="R25" s="40">
        <v>0.06905392809739593</v>
      </c>
      <c r="S25" s="40">
        <v>0.073504645171521</v>
      </c>
      <c r="T25" s="40">
        <v>0.06497502732004255</v>
      </c>
      <c r="U25" s="40">
        <v>0.06583051940106736</v>
      </c>
      <c r="V25" s="40">
        <v>0.06690682879498155</v>
      </c>
      <c r="W25" s="40">
        <v>0.06628043840079657</v>
      </c>
      <c r="X25" s="40">
        <v>0.06627042027527658</v>
      </c>
      <c r="Y25" s="40">
        <v>0.06617902585695165</v>
      </c>
      <c r="Z25" s="40">
        <v>0.05507383013436049</v>
      </c>
      <c r="AA25" s="40">
        <v>0.05394588420451011</v>
      </c>
      <c r="AB25" s="40">
        <v>0.05358572168769902</v>
      </c>
      <c r="AC25" s="40">
        <v>0.05293024073602464</v>
      </c>
      <c r="AD25" s="40">
        <v>0.05309821852742293</v>
      </c>
      <c r="AE25" s="40">
        <v>0.05523509448234214</v>
      </c>
      <c r="AF25" s="40">
        <v>0.052791059094923494</v>
      </c>
      <c r="AG25" s="40">
        <v>0.052590781269614924</v>
      </c>
      <c r="AH25" s="40">
        <v>0.05028744395240022</v>
      </c>
      <c r="AI25" s="40">
        <v>0.03901754463743187</v>
      </c>
      <c r="AJ25" s="40">
        <v>0.03860298063320724</v>
      </c>
      <c r="AK25" s="40">
        <v>0.039245660484987524</v>
      </c>
      <c r="AL25" s="40">
        <v>0.03913091054740235</v>
      </c>
      <c r="AM25" s="40">
        <v>0.03934971974973645</v>
      </c>
      <c r="AN25" s="40">
        <v>0.03819057043927069</v>
      </c>
      <c r="AO25" s="40">
        <v>0.03734074351911356</v>
      </c>
      <c r="AP25" s="40">
        <v>0.038649663000297006</v>
      </c>
      <c r="AQ25" s="40">
        <v>0.03838844461898106</v>
      </c>
      <c r="AR25" s="40">
        <v>0.03737759300617106</v>
      </c>
      <c r="AS25" s="40">
        <v>0.037157998770166685</v>
      </c>
      <c r="AT25" s="40">
        <v>0.024014904378627664</v>
      </c>
      <c r="AU25" s="40">
        <v>0.02379231226535754</v>
      </c>
      <c r="AV25" s="40">
        <v>0.023546486128791903</v>
      </c>
      <c r="AW25" s="40">
        <v>0.023372383161310545</v>
      </c>
      <c r="AX25" s="40">
        <v>0.02358579425203608</v>
      </c>
      <c r="AY25" s="51">
        <v>0.02361029944276436</v>
      </c>
      <c r="AZ25" s="51">
        <v>0.02377653875170725</v>
      </c>
      <c r="BA25" s="51">
        <v>0.023946694104579676</v>
      </c>
      <c r="BB25" s="51">
        <v>0.024831324380390336</v>
      </c>
      <c r="BC25" s="51">
        <v>0.023520987747806518</v>
      </c>
      <c r="BD25" s="51">
        <v>0.019341008251955224</v>
      </c>
      <c r="BE25" s="51">
        <v>0.01589864898711076</v>
      </c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2">J26</f>
        <v>20379289.91</v>
      </c>
      <c r="G26" s="31">
        <f t="shared" si="22"/>
        <v>21756623.06</v>
      </c>
      <c r="H26" s="32">
        <f t="shared" si="21"/>
        <v>-0.06330638468</v>
      </c>
      <c r="I26" s="30"/>
      <c r="J26" s="31">
        <v>2.037928991396131E7</v>
      </c>
      <c r="K26" s="31">
        <v>2.1756623062971454E7</v>
      </c>
      <c r="L26" s="31">
        <v>1.9970082735222094E7</v>
      </c>
      <c r="M26" s="31">
        <v>1.8656948381927814E7</v>
      </c>
      <c r="N26" s="31">
        <v>1.714237596634673E7</v>
      </c>
      <c r="O26" s="31">
        <v>1.8038563365001533E7</v>
      </c>
      <c r="P26" s="31">
        <v>1.831927851081184E7</v>
      </c>
      <c r="Q26" s="31">
        <v>1.7113363069317047E7</v>
      </c>
      <c r="R26" s="31">
        <v>1.5723828677360551E7</v>
      </c>
      <c r="S26" s="31">
        <v>2.2043887675702482E7</v>
      </c>
      <c r="T26" s="31">
        <v>1.6333558222306682E7</v>
      </c>
      <c r="U26" s="31">
        <v>1.4810674279768718E7</v>
      </c>
      <c r="V26" s="31">
        <v>1.8654568209113013E7</v>
      </c>
      <c r="W26" s="31">
        <v>1.6438123420357797E7</v>
      </c>
      <c r="X26" s="31">
        <v>1.5843171264576295E7</v>
      </c>
      <c r="Y26" s="31">
        <v>1.4851637198789708E7</v>
      </c>
      <c r="Z26" s="31">
        <v>1.3164628558755327E7</v>
      </c>
      <c r="AA26" s="31">
        <v>1.1958655281367805E7</v>
      </c>
      <c r="AB26" s="31">
        <v>1.1014623814427689E7</v>
      </c>
      <c r="AC26" s="31">
        <v>9821793.699357456</v>
      </c>
      <c r="AD26" s="31">
        <v>9794538.698287388</v>
      </c>
      <c r="AE26" s="31">
        <v>1.4491607643561948E7</v>
      </c>
      <c r="AF26" s="31">
        <v>9507152.4671445</v>
      </c>
      <c r="AG26" s="31">
        <v>8450781.327502972</v>
      </c>
      <c r="AH26" s="31">
        <v>9034985.813976059</v>
      </c>
      <c r="AI26" s="31">
        <v>9279267.236423897</v>
      </c>
      <c r="AJ26" s="31">
        <v>1.123136218391391E7</v>
      </c>
      <c r="AK26" s="31">
        <v>1.0751194020243311E7</v>
      </c>
      <c r="AL26" s="36">
        <v>1.0380536358136008E7</v>
      </c>
      <c r="AM26" s="36">
        <v>9911189.617929684</v>
      </c>
      <c r="AN26" s="36">
        <v>7307600.935036044</v>
      </c>
      <c r="AO26" s="36">
        <v>6040016.030715046</v>
      </c>
      <c r="AP26" s="36">
        <v>7116120.313996634</v>
      </c>
      <c r="AQ26" s="36">
        <v>6879327.367174539</v>
      </c>
      <c r="AR26" s="36">
        <v>4921875.707414207</v>
      </c>
      <c r="AS26" s="36">
        <v>4224702.342068451</v>
      </c>
      <c r="AT26" s="36">
        <v>4382660.030967943</v>
      </c>
      <c r="AU26" s="36">
        <v>4313715.460058149</v>
      </c>
      <c r="AV26" s="36">
        <v>4742665.215166888</v>
      </c>
      <c r="AW26" s="36">
        <v>5946654.696363069</v>
      </c>
      <c r="AX26" s="36">
        <v>6840516.925137586</v>
      </c>
      <c r="AY26" s="37">
        <v>7415459.628633368</v>
      </c>
      <c r="AZ26" s="37">
        <v>7260593.146275067</v>
      </c>
      <c r="BA26" s="37">
        <v>6177381.675689153</v>
      </c>
      <c r="BB26" s="37">
        <v>9008185.441657435</v>
      </c>
      <c r="BC26" s="37">
        <v>6688877.251393778</v>
      </c>
      <c r="BD26" s="37">
        <v>5294690.143070486</v>
      </c>
      <c r="BE26" s="37">
        <v>4695628.088595786</v>
      </c>
    </row>
    <row r="27">
      <c r="C27" s="1" t="s">
        <v>52</v>
      </c>
      <c r="D27" s="3"/>
      <c r="F27" s="4"/>
      <c r="G27" s="4"/>
      <c r="H27" s="5"/>
      <c r="Z27" s="54"/>
      <c r="AA27" s="54"/>
      <c r="AB27" s="54"/>
    </row>
    <row r="28">
      <c r="C28" s="20" t="s">
        <v>26</v>
      </c>
      <c r="D28" s="21" t="s">
        <v>4</v>
      </c>
      <c r="F28" s="22"/>
      <c r="G28" s="22"/>
      <c r="H28" s="23"/>
      <c r="I28" s="17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>
        <f t="shared" ref="F29:G29" si="23">J29</f>
        <v>1</v>
      </c>
      <c r="G29" s="55">
        <f t="shared" si="23"/>
        <v>1</v>
      </c>
      <c r="H29" s="56">
        <f t="shared" ref="H29:H37" si="25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40">
        <v>1.0</v>
      </c>
      <c r="Y29" s="40">
        <v>1.0</v>
      </c>
      <c r="Z29" s="40">
        <v>1.0</v>
      </c>
      <c r="AA29" s="40">
        <v>1.0</v>
      </c>
      <c r="AB29" s="40">
        <v>1.0</v>
      </c>
      <c r="AC29" s="40">
        <v>1.0</v>
      </c>
      <c r="AD29" s="40">
        <v>1.0</v>
      </c>
      <c r="AE29" s="40">
        <v>1.0</v>
      </c>
      <c r="AF29" s="40">
        <v>1.0</v>
      </c>
      <c r="AG29" s="40">
        <v>1.0</v>
      </c>
      <c r="AH29" s="40">
        <v>1.0</v>
      </c>
      <c r="AI29" s="40">
        <v>1.0</v>
      </c>
      <c r="AJ29" s="40">
        <v>1.0</v>
      </c>
      <c r="AK29" s="40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4">J30</f>
        <v>0.4199693677</v>
      </c>
      <c r="G30" s="55">
        <f t="shared" si="24"/>
        <v>0.4257772606</v>
      </c>
      <c r="H30" s="32">
        <f t="shared" si="25"/>
        <v>-0.01364068346</v>
      </c>
      <c r="I30" s="30"/>
      <c r="J30" s="40">
        <v>0.41996936771982213</v>
      </c>
      <c r="K30" s="40">
        <v>0.42577726055560977</v>
      </c>
      <c r="L30" s="40">
        <v>0.4247634879501114</v>
      </c>
      <c r="M30" s="40">
        <v>0.43119977232350254</v>
      </c>
      <c r="N30" s="40">
        <v>0.42819856986089033</v>
      </c>
      <c r="O30" s="40">
        <v>0.4291979429196904</v>
      </c>
      <c r="P30" s="40">
        <v>0.4127354714339347</v>
      </c>
      <c r="Q30" s="40">
        <v>0.42084668650030543</v>
      </c>
      <c r="R30" s="40">
        <v>0.42770686148460063</v>
      </c>
      <c r="S30" s="40">
        <v>0.398639167492365</v>
      </c>
      <c r="T30" s="40">
        <v>0.3968512195504274</v>
      </c>
      <c r="U30" s="40">
        <v>0.398254067050025</v>
      </c>
      <c r="V30" s="40">
        <v>0.3929024315967394</v>
      </c>
      <c r="W30" s="40">
        <v>0.39890802332923175</v>
      </c>
      <c r="X30" s="40">
        <v>0.3930866199213669</v>
      </c>
      <c r="Y30" s="40">
        <v>0.3896270926770751</v>
      </c>
      <c r="Z30" s="40">
        <v>0.3833187001818909</v>
      </c>
      <c r="AA30" s="40">
        <v>0.3887192608230668</v>
      </c>
      <c r="AB30" s="40">
        <v>0.3880265438614221</v>
      </c>
      <c r="AC30" s="40">
        <v>0.38739967746055964</v>
      </c>
      <c r="AD30" s="40">
        <v>0.3971465618927731</v>
      </c>
      <c r="AE30" s="40">
        <v>0.36611955303899957</v>
      </c>
      <c r="AF30" s="40">
        <v>0.3694636980033531</v>
      </c>
      <c r="AG30" s="40">
        <v>0.3639780872608312</v>
      </c>
      <c r="AH30" s="40">
        <v>0.341515498694935</v>
      </c>
      <c r="AI30" s="40">
        <v>0.34131013308298713</v>
      </c>
      <c r="AJ30" s="40">
        <v>0.351247821031377</v>
      </c>
      <c r="AK30" s="40">
        <v>0.3430262868277697</v>
      </c>
      <c r="AL30" s="31">
        <v>0.32689978440207174</v>
      </c>
      <c r="AM30" s="31">
        <v>0.3466309832276332</v>
      </c>
      <c r="AN30" s="31">
        <v>0.3710404735777126</v>
      </c>
      <c r="AO30" s="31">
        <v>0.3740175410931728</v>
      </c>
      <c r="AP30" s="31">
        <v>0.36044823518069696</v>
      </c>
      <c r="AQ30" s="31">
        <v>0.35608091364453337</v>
      </c>
      <c r="AR30" s="31">
        <v>0.3611530426988742</v>
      </c>
      <c r="AS30" s="31">
        <v>0.354250200162455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6">J31</f>
        <v>0.09156507741</v>
      </c>
      <c r="G31" s="55">
        <f t="shared" si="26"/>
        <v>0.08989345465</v>
      </c>
      <c r="H31" s="32">
        <f t="shared" si="25"/>
        <v>0.01859560035</v>
      </c>
      <c r="I31" s="30"/>
      <c r="J31" s="40">
        <v>0.09156507740904522</v>
      </c>
      <c r="K31" s="40">
        <v>0.08989345465184553</v>
      </c>
      <c r="L31" s="40">
        <v>0.08800860197966329</v>
      </c>
      <c r="M31" s="40">
        <v>0.08487590511125441</v>
      </c>
      <c r="N31" s="40">
        <v>0.08657847423058813</v>
      </c>
      <c r="O31" s="40">
        <v>0.08405306180454253</v>
      </c>
      <c r="P31" s="40">
        <v>0.0846259327335299</v>
      </c>
      <c r="Q31" s="40">
        <v>0.08167288629764657</v>
      </c>
      <c r="R31" s="40">
        <v>0.0794517349463806</v>
      </c>
      <c r="S31" s="40">
        <v>0.08369676586828076</v>
      </c>
      <c r="T31" s="40">
        <v>0.07428171758931937</v>
      </c>
      <c r="U31" s="40">
        <v>0.06708001490290069</v>
      </c>
      <c r="V31" s="40">
        <v>0.07102732938226741</v>
      </c>
      <c r="W31" s="40">
        <v>0.07012687201816258</v>
      </c>
      <c r="X31" s="40">
        <v>0.06773615799407841</v>
      </c>
      <c r="Y31" s="40">
        <v>0.06268181513575209</v>
      </c>
      <c r="Z31" s="40">
        <v>0.057106190678231236</v>
      </c>
      <c r="AA31" s="40">
        <v>0.05525806446494776</v>
      </c>
      <c r="AB31" s="40">
        <v>0.05260162085493491</v>
      </c>
      <c r="AC31" s="40">
        <v>0.05306335813118261</v>
      </c>
      <c r="AD31" s="40">
        <v>0.05586238867907656</v>
      </c>
      <c r="AE31" s="40">
        <v>0.055159939705241454</v>
      </c>
      <c r="AF31" s="40">
        <v>0.0490831302530612</v>
      </c>
      <c r="AG31" s="40">
        <v>0.04890500303761276</v>
      </c>
      <c r="AH31" s="40">
        <v>0.0578909764866337</v>
      </c>
      <c r="AI31" s="40">
        <v>0.048247967292914855</v>
      </c>
      <c r="AJ31" s="40">
        <v>0.04345408036960366</v>
      </c>
      <c r="AK31" s="40">
        <v>0.037371085594793005</v>
      </c>
      <c r="AL31" s="31">
        <v>0.032313602351182746</v>
      </c>
      <c r="AM31" s="31">
        <v>0.03256123551136371</v>
      </c>
      <c r="AN31" s="31">
        <v>0.03438990800097062</v>
      </c>
      <c r="AO31" s="31">
        <v>0.033816235281359235</v>
      </c>
      <c r="AP31" s="31">
        <v>0.040350130909288864</v>
      </c>
      <c r="AQ31" s="31">
        <v>0.036961476788146715</v>
      </c>
      <c r="AR31" s="31">
        <v>0.03135985912208971</v>
      </c>
      <c r="AS31" s="31">
        <v>0.029303408445124555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27">J32</f>
        <v>0.08651611804</v>
      </c>
      <c r="G32" s="55">
        <f t="shared" si="27"/>
        <v>0.08375143976</v>
      </c>
      <c r="H32" s="32">
        <f t="shared" si="25"/>
        <v>0.03301051642</v>
      </c>
      <c r="I32" s="30"/>
      <c r="J32" s="40">
        <v>0.08651611804034735</v>
      </c>
      <c r="K32" s="40">
        <v>0.08375143976273619</v>
      </c>
      <c r="L32" s="40">
        <v>0.08510883124235202</v>
      </c>
      <c r="M32" s="40">
        <v>0.07897037593394823</v>
      </c>
      <c r="N32" s="40">
        <v>0.08211327424642484</v>
      </c>
      <c r="O32" s="40">
        <v>0.08149008055069545</v>
      </c>
      <c r="P32" s="40">
        <v>0.08143107209531056</v>
      </c>
      <c r="Q32" s="40">
        <v>0.08642988441278773</v>
      </c>
      <c r="R32" s="40">
        <v>0.09052072285093966</v>
      </c>
      <c r="S32" s="40">
        <v>0.09697071474514982</v>
      </c>
      <c r="T32" s="40">
        <v>0.093182467118818</v>
      </c>
      <c r="U32" s="40">
        <v>0.09407323272903743</v>
      </c>
      <c r="V32" s="40">
        <v>0.09228659681190292</v>
      </c>
      <c r="W32" s="40">
        <v>0.09037764001793211</v>
      </c>
      <c r="X32" s="40">
        <v>0.09923748904636417</v>
      </c>
      <c r="Y32" s="40">
        <v>0.10163042388660153</v>
      </c>
      <c r="Z32" s="40">
        <v>0.10650115564805443</v>
      </c>
      <c r="AA32" s="40">
        <v>0.10031306863211695</v>
      </c>
      <c r="AB32" s="40">
        <v>0.09669074751934148</v>
      </c>
      <c r="AC32" s="40">
        <v>0.09803986473431474</v>
      </c>
      <c r="AD32" s="40">
        <v>0.10770379767762425</v>
      </c>
      <c r="AE32" s="40">
        <v>0.11465561804337977</v>
      </c>
      <c r="AF32" s="40">
        <v>0.10894815442624187</v>
      </c>
      <c r="AG32" s="40">
        <v>0.11492996699575635</v>
      </c>
      <c r="AH32" s="40">
        <v>0.11175827215912006</v>
      </c>
      <c r="AI32" s="40">
        <v>0.11616819003732295</v>
      </c>
      <c r="AJ32" s="40">
        <v>0.11954531625357906</v>
      </c>
      <c r="AK32" s="40">
        <v>0.11765412971746142</v>
      </c>
      <c r="AL32" s="31">
        <v>0.11878165937034432</v>
      </c>
      <c r="AM32" s="31">
        <v>0.1255543751712956</v>
      </c>
      <c r="AN32" s="31">
        <v>0.13828890346651893</v>
      </c>
      <c r="AO32" s="31">
        <v>0.13010096259357876</v>
      </c>
      <c r="AP32" s="31">
        <v>0.14169858463099014</v>
      </c>
      <c r="AQ32" s="31">
        <v>0.1317265907977468</v>
      </c>
      <c r="AR32" s="31">
        <v>0.11953902319695797</v>
      </c>
      <c r="AS32" s="31">
        <v>0.12539834540136868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28">J33</f>
        <v>0.04365489347</v>
      </c>
      <c r="G33" s="55">
        <f t="shared" si="28"/>
        <v>0.04715468649</v>
      </c>
      <c r="H33" s="32">
        <f t="shared" si="25"/>
        <v>-0.07421941025</v>
      </c>
      <c r="I33" s="30"/>
      <c r="J33" s="40">
        <v>0.04365489346958795</v>
      </c>
      <c r="K33" s="40">
        <v>0.047154686491763256</v>
      </c>
      <c r="L33" s="40">
        <v>0.04809371536529467</v>
      </c>
      <c r="M33" s="40">
        <v>0.046480525554844845</v>
      </c>
      <c r="N33" s="40">
        <v>0.04174968209936099</v>
      </c>
      <c r="O33" s="40">
        <v>0.04151017721860598</v>
      </c>
      <c r="P33" s="40">
        <v>0.044608420899300824</v>
      </c>
      <c r="Q33" s="40">
        <v>0.03934876604740717</v>
      </c>
      <c r="R33" s="40">
        <v>0.04018157814800908</v>
      </c>
      <c r="S33" s="40">
        <v>0.04174470218821661</v>
      </c>
      <c r="T33" s="40">
        <v>0.03808509431309735</v>
      </c>
      <c r="U33" s="40">
        <v>0.03447942379735113</v>
      </c>
      <c r="V33" s="40">
        <v>0.03675501528861309</v>
      </c>
      <c r="W33" s="40">
        <v>0.03363006485153853</v>
      </c>
      <c r="X33" s="40">
        <v>0.033679999713418875</v>
      </c>
      <c r="Y33" s="40">
        <v>0.03422301935090626</v>
      </c>
      <c r="Z33" s="40">
        <v>0.03270093525258227</v>
      </c>
      <c r="AA33" s="40">
        <v>0.02988662879769958</v>
      </c>
      <c r="AB33" s="40">
        <v>0.03130177638598664</v>
      </c>
      <c r="AC33" s="40">
        <v>0.03117744304354813</v>
      </c>
      <c r="AD33" s="40">
        <v>0.03183590993047948</v>
      </c>
      <c r="AE33" s="40">
        <v>0.03160503797533555</v>
      </c>
      <c r="AF33" s="40">
        <v>0.031662946519584366</v>
      </c>
      <c r="AG33" s="40">
        <v>0.03133224339821899</v>
      </c>
      <c r="AH33" s="40">
        <v>0.03109261602757946</v>
      </c>
      <c r="AI33" s="40">
        <v>0.03188737957062272</v>
      </c>
      <c r="AJ33" s="40">
        <v>0.03323061273003146</v>
      </c>
      <c r="AK33" s="40">
        <v>0.03218849876940605</v>
      </c>
      <c r="AL33" s="31">
        <v>0.033228830513295116</v>
      </c>
      <c r="AM33" s="31">
        <v>0.03234586416003683</v>
      </c>
      <c r="AN33" s="31">
        <v>0.03402770559890805</v>
      </c>
      <c r="AO33" s="31">
        <v>0.03447676875595668</v>
      </c>
      <c r="AP33" s="31">
        <v>0.03352670849398836</v>
      </c>
      <c r="AQ33" s="31">
        <v>0.03334390209197137</v>
      </c>
      <c r="AR33" s="31">
        <v>0.03305540191383399</v>
      </c>
      <c r="AS33" s="31">
        <v>0.0317830881288905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29">J34</f>
        <v>0.1041155799</v>
      </c>
      <c r="G34" s="55">
        <f t="shared" si="29"/>
        <v>0.1048735233</v>
      </c>
      <c r="H34" s="32">
        <f t="shared" si="25"/>
        <v>-0.007227214159</v>
      </c>
      <c r="I34" s="30"/>
      <c r="J34" s="40">
        <v>0.10411557988305602</v>
      </c>
      <c r="K34" s="40">
        <v>0.10487352329554862</v>
      </c>
      <c r="L34" s="40">
        <v>0.10906743997389705</v>
      </c>
      <c r="M34" s="40">
        <v>0.1137768438706656</v>
      </c>
      <c r="N34" s="40">
        <v>0.11837862221620167</v>
      </c>
      <c r="O34" s="40">
        <v>0.1241188486773282</v>
      </c>
      <c r="P34" s="40">
        <v>0.12636082914721708</v>
      </c>
      <c r="Q34" s="40">
        <v>0.12878147138449572</v>
      </c>
      <c r="R34" s="40">
        <v>0.13015956907254955</v>
      </c>
      <c r="S34" s="40">
        <v>0.13001529751548183</v>
      </c>
      <c r="T34" s="40">
        <v>0.13175698328843596</v>
      </c>
      <c r="U34" s="40">
        <v>0.13368413088044273</v>
      </c>
      <c r="V34" s="40">
        <v>0.13530053532728273</v>
      </c>
      <c r="W34" s="40">
        <v>0.13541693566053573</v>
      </c>
      <c r="X34" s="40">
        <v>0.13719850867162345</v>
      </c>
      <c r="Y34" s="40">
        <v>0.13659164192693982</v>
      </c>
      <c r="Z34" s="40">
        <v>0.13676968398884445</v>
      </c>
      <c r="AA34" s="40">
        <v>0.140333042064466</v>
      </c>
      <c r="AB34" s="40">
        <v>0.14570117957057585</v>
      </c>
      <c r="AC34" s="40">
        <v>0.15200422993619062</v>
      </c>
      <c r="AD34" s="40">
        <v>0.14508671416264773</v>
      </c>
      <c r="AE34" s="40">
        <v>0.14122860665272358</v>
      </c>
      <c r="AF34" s="40">
        <v>0.15631464666324818</v>
      </c>
      <c r="AG34" s="40">
        <v>0.1661668656970401</v>
      </c>
      <c r="AH34" s="40">
        <v>0.16257716782728093</v>
      </c>
      <c r="AI34" s="40">
        <v>0.16901968583595048</v>
      </c>
      <c r="AJ34" s="40">
        <v>0.16382090625360968</v>
      </c>
      <c r="AK34" s="40">
        <v>0.15541786905673366</v>
      </c>
      <c r="AL34" s="31">
        <v>0.16101899837908173</v>
      </c>
      <c r="AM34" s="31">
        <v>0.1738879211557782</v>
      </c>
      <c r="AN34" s="31">
        <v>0.19199218726070177</v>
      </c>
      <c r="AO34" s="31">
        <v>0.19827674076842783</v>
      </c>
      <c r="AP34" s="31">
        <v>0.18730343177269076</v>
      </c>
      <c r="AQ34" s="31">
        <v>0.19012398970980376</v>
      </c>
      <c r="AR34" s="31">
        <v>0.19834318598745343</v>
      </c>
      <c r="AS34" s="31">
        <v>0.20082028897295176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30">J35</f>
        <v>0.08335366015</v>
      </c>
      <c r="G35" s="55">
        <f t="shared" si="30"/>
        <v>0.07431232092</v>
      </c>
      <c r="H35" s="32">
        <f t="shared" si="25"/>
        <v>0.1216667588</v>
      </c>
      <c r="I35" s="30"/>
      <c r="J35" s="40">
        <v>0.08335366014970473</v>
      </c>
      <c r="K35" s="40">
        <v>0.07431232092447429</v>
      </c>
      <c r="L35" s="40">
        <v>0.06800725589495155</v>
      </c>
      <c r="M35" s="40">
        <v>0.06563566152974012</v>
      </c>
      <c r="N35" s="40">
        <v>0.06127704695605749</v>
      </c>
      <c r="O35" s="40">
        <v>0.05891574616185115</v>
      </c>
      <c r="P35" s="40">
        <v>0.061479248545637695</v>
      </c>
      <c r="Q35" s="40">
        <v>0.0642478779020355</v>
      </c>
      <c r="R35" s="40">
        <v>0.06102099023255477</v>
      </c>
      <c r="S35" s="40">
        <v>0.07195855967736109</v>
      </c>
      <c r="T35" s="40">
        <v>0.08116368563431599</v>
      </c>
      <c r="U35" s="40">
        <v>0.08550826987609902</v>
      </c>
      <c r="V35" s="40">
        <v>0.09370798186677763</v>
      </c>
      <c r="W35" s="40">
        <v>0.09278741780007516</v>
      </c>
      <c r="X35" s="40">
        <v>0.08823869675174084</v>
      </c>
      <c r="Y35" s="40">
        <v>0.09497495777638125</v>
      </c>
      <c r="Z35" s="40">
        <v>0.09355084370841112</v>
      </c>
      <c r="AA35" s="40">
        <v>0.09646019023130314</v>
      </c>
      <c r="AB35" s="40">
        <v>0.09857667108249556</v>
      </c>
      <c r="AC35" s="40">
        <v>0.09018127028901102</v>
      </c>
      <c r="AD35" s="40">
        <v>0.07247856878106368</v>
      </c>
      <c r="AE35" s="40">
        <v>0.08690023385262273</v>
      </c>
      <c r="AF35" s="40">
        <v>0.08959493763264034</v>
      </c>
      <c r="AG35" s="40">
        <v>0.08231329284298361</v>
      </c>
      <c r="AH35" s="40">
        <v>0.09469241413911698</v>
      </c>
      <c r="AI35" s="40">
        <v>0.10579404188590792</v>
      </c>
      <c r="AJ35" s="40">
        <v>0.11182447411848864</v>
      </c>
      <c r="AK35" s="40">
        <v>0.12569798536889878</v>
      </c>
      <c r="AL35" s="31">
        <v>0.14470709554479308</v>
      </c>
      <c r="AM35" s="31">
        <v>0.09730696195371336</v>
      </c>
      <c r="AN35" s="31">
        <v>0.016643547435376646</v>
      </c>
      <c r="AO35" s="31">
        <v>0.017305109746671883</v>
      </c>
      <c r="AP35" s="31">
        <v>0.0160570564006462</v>
      </c>
      <c r="AQ35" s="31">
        <v>0.01943247829246292</v>
      </c>
      <c r="AR35" s="31">
        <v>0.017133681795437884</v>
      </c>
      <c r="AS35" s="31">
        <v>0.014087443319793069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1">J36</f>
        <v>0.07014976915</v>
      </c>
      <c r="G36" s="55">
        <f t="shared" si="31"/>
        <v>0.06926542066</v>
      </c>
      <c r="H36" s="32">
        <f t="shared" si="25"/>
        <v>0.0127675321</v>
      </c>
      <c r="I36" s="30"/>
      <c r="J36" s="40">
        <v>0.07014976914526547</v>
      </c>
      <c r="K36" s="40">
        <v>0.06926542066324867</v>
      </c>
      <c r="L36" s="40">
        <v>0.066751261596416</v>
      </c>
      <c r="M36" s="40">
        <v>0.0651231051722042</v>
      </c>
      <c r="N36" s="40">
        <v>0.11508838325239583</v>
      </c>
      <c r="O36" s="40">
        <v>0.09959214499024417</v>
      </c>
      <c r="P36" s="40">
        <v>0.1012211673388005</v>
      </c>
      <c r="Q36" s="40">
        <v>0.08904922637457104</v>
      </c>
      <c r="R36" s="40">
        <v>0.07626926828460989</v>
      </c>
      <c r="S36" s="40">
        <v>0.0775734738238395</v>
      </c>
      <c r="T36" s="40">
        <v>0.06291406733332423</v>
      </c>
      <c r="U36" s="40">
        <v>0.05616227374141341</v>
      </c>
      <c r="V36" s="40">
        <v>0.06027424893206102</v>
      </c>
      <c r="W36" s="40">
        <v>0.05856169331651342</v>
      </c>
      <c r="X36" s="40">
        <v>0.05947995061168617</v>
      </c>
      <c r="Y36" s="40">
        <v>0.06060447717914975</v>
      </c>
      <c r="Z36" s="40">
        <v>0.062559167199486</v>
      </c>
      <c r="AA36" s="40">
        <v>0.07422966788817863</v>
      </c>
      <c r="AB36" s="40">
        <v>0.08522079997911433</v>
      </c>
      <c r="AC36" s="40">
        <v>0.09118666101471616</v>
      </c>
      <c r="AD36" s="40">
        <v>0.10229945238291517</v>
      </c>
      <c r="AE36" s="40">
        <v>0.09924659960721978</v>
      </c>
      <c r="AF36" s="40">
        <v>0.054134725597611205</v>
      </c>
      <c r="AG36" s="40">
        <v>0.04982200147588129</v>
      </c>
      <c r="AH36" s="40">
        <v>0.05901811039958728</v>
      </c>
      <c r="AI36" s="40">
        <v>0.029131201396101362</v>
      </c>
      <c r="AJ36" s="40">
        <v>0.015638276573474753</v>
      </c>
      <c r="AK36" s="40">
        <v>0.012484971972380767</v>
      </c>
      <c r="AL36" s="31">
        <v>0.010359441398485318</v>
      </c>
      <c r="AM36" s="31">
        <v>0.010411311183720937</v>
      </c>
      <c r="AN36" s="31">
        <v>0.009823533253923981</v>
      </c>
      <c r="AO36" s="31">
        <v>0.00846729003085815</v>
      </c>
      <c r="AP36" s="31">
        <v>0.008575679366256486</v>
      </c>
      <c r="AQ36" s="31">
        <v>0.006065762422134354</v>
      </c>
      <c r="AR36" s="31">
        <v>0.004574171952540115</v>
      </c>
      <c r="AS36" s="31">
        <v>0.0037025626101874288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2">J37</f>
        <v>0.1006755342</v>
      </c>
      <c r="G37" s="55">
        <f t="shared" si="32"/>
        <v>0.1049718937</v>
      </c>
      <c r="H37" s="56">
        <f t="shared" si="25"/>
        <v>-0.04092866502</v>
      </c>
      <c r="I37" s="30"/>
      <c r="J37" s="40">
        <v>0.10067553418317117</v>
      </c>
      <c r="K37" s="40">
        <v>0.10497189365477372</v>
      </c>
      <c r="L37" s="40">
        <v>0.11019940599731397</v>
      </c>
      <c r="M37" s="40">
        <v>0.11393781050383994</v>
      </c>
      <c r="N37" s="40">
        <v>0.06661594713808076</v>
      </c>
      <c r="O37" s="40">
        <v>0.08112199767704217</v>
      </c>
      <c r="P37" s="40">
        <v>0.08753785780626873</v>
      </c>
      <c r="Q37" s="40">
        <v>0.08962320108075077</v>
      </c>
      <c r="R37" s="40">
        <v>0.09468927498035584</v>
      </c>
      <c r="S37" s="40">
        <v>0.09940131868930538</v>
      </c>
      <c r="T37" s="40">
        <v>0.12176476517226159</v>
      </c>
      <c r="U37" s="40">
        <v>0.13075858702273055</v>
      </c>
      <c r="V37" s="40">
        <v>0.11774586079435582</v>
      </c>
      <c r="W37" s="40">
        <v>0.12019135300601078</v>
      </c>
      <c r="X37" s="40">
        <v>0.12134257728972123</v>
      </c>
      <c r="Y37" s="40">
        <v>0.11966657206719412</v>
      </c>
      <c r="Z37" s="40">
        <v>0.1274933233424996</v>
      </c>
      <c r="AA37" s="40">
        <v>0.11480007709822106</v>
      </c>
      <c r="AB37" s="40">
        <v>0.10188066074612918</v>
      </c>
      <c r="AC37" s="40">
        <v>0.09694749539047694</v>
      </c>
      <c r="AD37" s="40">
        <v>0.08758660649342005</v>
      </c>
      <c r="AE37" s="40">
        <v>0.10508441112447763</v>
      </c>
      <c r="AF37" s="40">
        <v>0.14079776090425974</v>
      </c>
      <c r="AG37" s="40">
        <v>0.14255253929167575</v>
      </c>
      <c r="AH37" s="40">
        <v>0.1414549442657466</v>
      </c>
      <c r="AI37" s="40">
        <v>0.1584414008981926</v>
      </c>
      <c r="AJ37" s="40">
        <v>0.16123851266983585</v>
      </c>
      <c r="AK37" s="40">
        <v>0.17615917269255654</v>
      </c>
      <c r="AL37" s="31">
        <v>0.17269058804074597</v>
      </c>
      <c r="AM37" s="31">
        <v>0.18130134763645805</v>
      </c>
      <c r="AN37" s="31">
        <v>0.20379374140588732</v>
      </c>
      <c r="AO37" s="31">
        <v>0.20353935172997464</v>
      </c>
      <c r="AP37" s="31">
        <v>0.2120401732454423</v>
      </c>
      <c r="AQ37" s="31">
        <v>0.2262648862532008</v>
      </c>
      <c r="AR37" s="31">
        <v>0.23484163333281277</v>
      </c>
      <c r="AS37" s="31">
        <v>0.240654662959229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3">J40</f>
        <v>1</v>
      </c>
      <c r="G40" s="55">
        <f t="shared" si="33"/>
        <v>1</v>
      </c>
      <c r="H40" s="32">
        <f t="shared" ref="H40:H48" si="35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40">
        <v>1.0</v>
      </c>
      <c r="Y40" s="40">
        <v>1.0</v>
      </c>
      <c r="Z40" s="40">
        <v>1.0</v>
      </c>
      <c r="AA40" s="40">
        <v>1.0</v>
      </c>
      <c r="AB40" s="40">
        <v>1.0</v>
      </c>
      <c r="AC40" s="40">
        <v>1.0</v>
      </c>
      <c r="AD40" s="40">
        <v>1.0</v>
      </c>
      <c r="AE40" s="40">
        <v>1.0</v>
      </c>
      <c r="AF40" s="40">
        <v>1.0</v>
      </c>
      <c r="AG40" s="40">
        <v>1.0</v>
      </c>
      <c r="AH40" s="40">
        <v>1.0</v>
      </c>
      <c r="AI40" s="40">
        <v>1.0</v>
      </c>
      <c r="AJ40" s="40">
        <v>1.0</v>
      </c>
      <c r="AK40" s="40">
        <v>1.0</v>
      </c>
      <c r="AL40" s="31">
        <v>1.0</v>
      </c>
      <c r="AM40" s="31">
        <v>1.0</v>
      </c>
      <c r="AN40" s="31">
        <v>1.0</v>
      </c>
      <c r="AO40" s="31">
        <v>1.0</v>
      </c>
      <c r="AP40" s="31">
        <v>1.0</v>
      </c>
      <c r="AQ40" s="31">
        <v>1.0</v>
      </c>
      <c r="AR40" s="31">
        <v>1.0</v>
      </c>
      <c r="AS40" s="31">
        <v>1.0</v>
      </c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4">J41</f>
        <v>0.589691875</v>
      </c>
      <c r="G41" s="55">
        <f t="shared" si="34"/>
        <v>0.5736100385</v>
      </c>
      <c r="H41" s="32">
        <f t="shared" si="35"/>
        <v>0.0280361839</v>
      </c>
      <c r="I41" s="30"/>
      <c r="J41" s="40">
        <v>0.589691874992577</v>
      </c>
      <c r="K41" s="40">
        <v>0.5736100384654229</v>
      </c>
      <c r="L41" s="40">
        <v>0.5846280573832893</v>
      </c>
      <c r="M41" s="40">
        <v>0.5868640962554676</v>
      </c>
      <c r="N41" s="40">
        <v>0.6079510597592195</v>
      </c>
      <c r="O41" s="40">
        <v>0.6020360759379619</v>
      </c>
      <c r="P41" s="40">
        <v>0.6033404787261197</v>
      </c>
      <c r="Q41" s="40">
        <v>0.6137918570923014</v>
      </c>
      <c r="R41" s="40">
        <v>0.6066274632552128</v>
      </c>
      <c r="S41" s="40">
        <v>0.5620385801365536</v>
      </c>
      <c r="T41" s="40">
        <v>0.5904628759785949</v>
      </c>
      <c r="U41" s="40">
        <v>0.5943517635545638</v>
      </c>
      <c r="V41" s="40">
        <v>0.5817701797221998</v>
      </c>
      <c r="W41" s="40">
        <v>0.5963344162472279</v>
      </c>
      <c r="X41" s="40">
        <v>0.615031248386085</v>
      </c>
      <c r="Y41" s="40">
        <v>0.6295090525865831</v>
      </c>
      <c r="Z41" s="40">
        <v>0.6233584413434833</v>
      </c>
      <c r="AA41" s="40">
        <v>0.6375973122763701</v>
      </c>
      <c r="AB41" s="40">
        <v>0.6383298756464983</v>
      </c>
      <c r="AC41" s="40">
        <v>0.638238400537016</v>
      </c>
      <c r="AD41" s="40">
        <v>0.6349600950126099</v>
      </c>
      <c r="AE41" s="40">
        <v>0.641011393086742</v>
      </c>
      <c r="AF41" s="40">
        <v>0.652026883760951</v>
      </c>
      <c r="AG41" s="40">
        <v>0.6481297086284339</v>
      </c>
      <c r="AH41" s="40">
        <v>0.6286091317072902</v>
      </c>
      <c r="AI41" s="40">
        <v>0.6277348232552608</v>
      </c>
      <c r="AJ41" s="40">
        <v>0.6294736342189531</v>
      </c>
      <c r="AK41" s="40">
        <v>0.6252393246161051</v>
      </c>
      <c r="AL41" s="31">
        <v>0.6315165054874682</v>
      </c>
      <c r="AM41" s="31">
        <v>0.6392780844296265</v>
      </c>
      <c r="AN41" s="31">
        <v>0.6467789391643617</v>
      </c>
      <c r="AO41" s="31">
        <v>0.6648689498194795</v>
      </c>
      <c r="AP41" s="31">
        <v>0.6512704621860562</v>
      </c>
      <c r="AQ41" s="31">
        <v>0.6570170618698087</v>
      </c>
      <c r="AR41" s="31">
        <v>0.6610448128992569</v>
      </c>
      <c r="AS41" s="31">
        <v>0.6581971660730692</v>
      </c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6">J42</f>
        <v>0.1268151952</v>
      </c>
      <c r="G42" s="55">
        <f t="shared" si="36"/>
        <v>0.1316105292</v>
      </c>
      <c r="H42" s="32">
        <f t="shared" si="35"/>
        <v>-0.03643579372</v>
      </c>
      <c r="I42" s="30"/>
      <c r="J42" s="40">
        <v>0.12681519515210432</v>
      </c>
      <c r="K42" s="40">
        <v>0.1316105292473725</v>
      </c>
      <c r="L42" s="40">
        <v>0.12555210960215002</v>
      </c>
      <c r="M42" s="40">
        <v>0.12000459804160626</v>
      </c>
      <c r="N42" s="40">
        <v>0.11965919275940594</v>
      </c>
      <c r="O42" s="40">
        <v>0.13082605556639262</v>
      </c>
      <c r="P42" s="40">
        <v>0.12731612036484646</v>
      </c>
      <c r="Q42" s="40">
        <v>0.10818396290833134</v>
      </c>
      <c r="R42" s="40">
        <v>0.10572315517786637</v>
      </c>
      <c r="S42" s="40">
        <v>0.12577914549767752</v>
      </c>
      <c r="T42" s="40">
        <v>0.1038208818715494</v>
      </c>
      <c r="U42" s="40">
        <v>0.09825733566642446</v>
      </c>
      <c r="V42" s="40">
        <v>0.09985708846985292</v>
      </c>
      <c r="W42" s="40">
        <v>0.09856222490933701</v>
      </c>
      <c r="X42" s="40">
        <v>0.09207675113789027</v>
      </c>
      <c r="Y42" s="40">
        <v>0.09546986829172655</v>
      </c>
      <c r="Z42" s="40">
        <v>0.09064642869721232</v>
      </c>
      <c r="AA42" s="40">
        <v>0.08696826318819925</v>
      </c>
      <c r="AB42" s="40">
        <v>0.09148155739281286</v>
      </c>
      <c r="AC42" s="40">
        <v>0.09937205839010542</v>
      </c>
      <c r="AD42" s="40">
        <v>0.09413894288249536</v>
      </c>
      <c r="AE42" s="40">
        <v>0.08613023413440794</v>
      </c>
      <c r="AF42" s="40">
        <v>0.07866237603633915</v>
      </c>
      <c r="AG42" s="40">
        <v>0.07845597185489217</v>
      </c>
      <c r="AH42" s="40">
        <v>0.09254248025980513</v>
      </c>
      <c r="AI42" s="40">
        <v>0.09572906645490961</v>
      </c>
      <c r="AJ42" s="40">
        <v>0.09620765910803068</v>
      </c>
      <c r="AK42" s="40">
        <v>0.09195719052402948</v>
      </c>
      <c r="AL42" s="31">
        <v>0.08845476866748649</v>
      </c>
      <c r="AM42" s="31">
        <v>0.09044270869902332</v>
      </c>
      <c r="AN42" s="31">
        <v>0.09366049886380658</v>
      </c>
      <c r="AO42" s="31">
        <v>0.09221574476151637</v>
      </c>
      <c r="AP42" s="31">
        <v>0.10186923502344261</v>
      </c>
      <c r="AQ42" s="31">
        <v>0.10479630063701514</v>
      </c>
      <c r="AR42" s="31">
        <v>0.10232166377961885</v>
      </c>
      <c r="AS42" s="31">
        <v>0.10443902908008536</v>
      </c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37">J43</f>
        <v>0.1532517775</v>
      </c>
      <c r="G43" s="55">
        <f t="shared" si="37"/>
        <v>0.1681809941</v>
      </c>
      <c r="H43" s="32">
        <f t="shared" si="35"/>
        <v>-0.08876875</v>
      </c>
      <c r="I43" s="30"/>
      <c r="J43" s="40">
        <v>0.15325177745601387</v>
      </c>
      <c r="K43" s="40">
        <v>0.16818099407357545</v>
      </c>
      <c r="L43" s="40">
        <v>0.16074698466118106</v>
      </c>
      <c r="M43" s="40">
        <v>0.16997706328674492</v>
      </c>
      <c r="N43" s="40">
        <v>0.16424868581528806</v>
      </c>
      <c r="O43" s="40">
        <v>0.16307881494427917</v>
      </c>
      <c r="P43" s="40">
        <v>0.16652002003891722</v>
      </c>
      <c r="Q43" s="40">
        <v>0.16900749121781392</v>
      </c>
      <c r="R43" s="40">
        <v>0.1751994288225791</v>
      </c>
      <c r="S43" s="40">
        <v>0.1948231625350216</v>
      </c>
      <c r="T43" s="40">
        <v>0.17859825271135765</v>
      </c>
      <c r="U43" s="40">
        <v>0.17627346347461714</v>
      </c>
      <c r="V43" s="40">
        <v>0.18626134603680886</v>
      </c>
      <c r="W43" s="40">
        <v>0.17393749955108193</v>
      </c>
      <c r="X43" s="40">
        <v>0.1581939458870028</v>
      </c>
      <c r="Y43" s="40">
        <v>0.1497033879156379</v>
      </c>
      <c r="Z43" s="40">
        <v>0.15526499550743117</v>
      </c>
      <c r="AA43" s="40">
        <v>0.15280939995776974</v>
      </c>
      <c r="AB43" s="40">
        <v>0.15241404227579308</v>
      </c>
      <c r="AC43" s="40">
        <v>0.14779820470371682</v>
      </c>
      <c r="AD43" s="40">
        <v>0.1586109790832121</v>
      </c>
      <c r="AE43" s="40">
        <v>0.16887170533893936</v>
      </c>
      <c r="AF43" s="40">
        <v>0.16630153764791517</v>
      </c>
      <c r="AG43" s="40">
        <v>0.16907168225603578</v>
      </c>
      <c r="AH43" s="40">
        <v>0.17652545268057787</v>
      </c>
      <c r="AI43" s="40">
        <v>0.1765569807449728</v>
      </c>
      <c r="AJ43" s="40">
        <v>0.17179600219067231</v>
      </c>
      <c r="AK43" s="40">
        <v>0.1748557370278106</v>
      </c>
      <c r="AL43" s="31">
        <v>0.17468502419929843</v>
      </c>
      <c r="AM43" s="31">
        <v>0.18347026666711375</v>
      </c>
      <c r="AN43" s="31">
        <v>0.17970640209141303</v>
      </c>
      <c r="AO43" s="31">
        <v>0.16983415096924756</v>
      </c>
      <c r="AP43" s="31">
        <v>0.17418957681987784</v>
      </c>
      <c r="AQ43" s="31">
        <v>0.17227399675122887</v>
      </c>
      <c r="AR43" s="31">
        <v>0.17395097896862308</v>
      </c>
      <c r="AS43" s="31">
        <v>0.1825720416613187</v>
      </c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38">J44</f>
        <v>0.01376998973</v>
      </c>
      <c r="G44" s="55">
        <f t="shared" si="38"/>
        <v>0.01735499326</v>
      </c>
      <c r="H44" s="32">
        <f t="shared" si="35"/>
        <v>-0.2065689958</v>
      </c>
      <c r="I44" s="30"/>
      <c r="J44" s="40">
        <v>0.013769989726814931</v>
      </c>
      <c r="K44" s="40">
        <v>0.017354993256652504</v>
      </c>
      <c r="L44" s="40">
        <v>0.019509369781785336</v>
      </c>
      <c r="M44" s="40">
        <v>0.022948522080950013</v>
      </c>
      <c r="N44" s="40">
        <v>0.012778373733588796</v>
      </c>
      <c r="O44" s="40">
        <v>0.008502996048324725</v>
      </c>
      <c r="P44" s="40">
        <v>0.007390062484246526</v>
      </c>
      <c r="Q44" s="40">
        <v>0.013582367748559023</v>
      </c>
      <c r="R44" s="40">
        <v>0.016504282740227864</v>
      </c>
      <c r="S44" s="40">
        <v>0.01752466792653867</v>
      </c>
      <c r="T44" s="40">
        <v>0.02503838774176607</v>
      </c>
      <c r="U44" s="40">
        <v>0.0322415505465069</v>
      </c>
      <c r="V44" s="40">
        <v>0.031034058472459127</v>
      </c>
      <c r="W44" s="40">
        <v>0.03234749509322818</v>
      </c>
      <c r="X44" s="40">
        <v>0.035964255077157795</v>
      </c>
      <c r="Y44" s="40">
        <v>0.03367076583053732</v>
      </c>
      <c r="Z44" s="40">
        <v>0.044839023755367025</v>
      </c>
      <c r="AA44" s="40">
        <v>0.04352179308007498</v>
      </c>
      <c r="AB44" s="40">
        <v>0.04394578982442135</v>
      </c>
      <c r="AC44" s="40">
        <v>0.045923271495270146</v>
      </c>
      <c r="AD44" s="40">
        <v>0.04344431560156444</v>
      </c>
      <c r="AE44" s="40">
        <v>0.03991877526485063</v>
      </c>
      <c r="AF44" s="40">
        <v>0.04784705811175361</v>
      </c>
      <c r="AG44" s="40">
        <v>0.051211250211006414</v>
      </c>
      <c r="AH44" s="40">
        <v>0.047483619263576804</v>
      </c>
      <c r="AI44" s="40">
        <v>0.04561262728364217</v>
      </c>
      <c r="AJ44" s="40">
        <v>0.04723395796150051</v>
      </c>
      <c r="AK44" s="40">
        <v>0.05470776442125243</v>
      </c>
      <c r="AL44" s="31">
        <v>0.055418101990764475</v>
      </c>
      <c r="AM44" s="31">
        <v>0.03938567715267592</v>
      </c>
      <c r="AN44" s="31">
        <v>0.03645799322596557</v>
      </c>
      <c r="AO44" s="31">
        <v>0.029616026171227192</v>
      </c>
      <c r="AP44" s="31">
        <v>0.0301906683817055</v>
      </c>
      <c r="AQ44" s="31">
        <v>0.02496435187474615</v>
      </c>
      <c r="AR44" s="31">
        <v>0.022151852415060045</v>
      </c>
      <c r="AS44" s="31">
        <v>0.015825160735598424</v>
      </c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39">J45</f>
        <v>0.04764376518</v>
      </c>
      <c r="G45" s="55">
        <f t="shared" si="39"/>
        <v>0.04530837282</v>
      </c>
      <c r="H45" s="32">
        <f t="shared" si="35"/>
        <v>0.05154438812</v>
      </c>
      <c r="I45" s="30"/>
      <c r="J45" s="40">
        <v>0.04764376517721964</v>
      </c>
      <c r="K45" s="40">
        <v>0.045308372823309774</v>
      </c>
      <c r="L45" s="40">
        <v>0.049619268377431164</v>
      </c>
      <c r="M45" s="40">
        <v>0.0503127126902984</v>
      </c>
      <c r="N45" s="40">
        <v>0.05000016663417872</v>
      </c>
      <c r="O45" s="40">
        <v>0.05012202718267001</v>
      </c>
      <c r="P45" s="40">
        <v>0.05116273502206268</v>
      </c>
      <c r="Q45" s="40">
        <v>0.053573103547468505</v>
      </c>
      <c r="R45" s="40">
        <v>0.05479311207203448</v>
      </c>
      <c r="S45" s="40">
        <v>0.054124383375259676</v>
      </c>
      <c r="T45" s="40">
        <v>0.052882920221732035</v>
      </c>
      <c r="U45" s="40">
        <v>0.050973333217713766</v>
      </c>
      <c r="V45" s="40">
        <v>0.05324624345534831</v>
      </c>
      <c r="W45" s="40">
        <v>0.056967010735994895</v>
      </c>
      <c r="X45" s="40">
        <v>0.058209776263273075</v>
      </c>
      <c r="Y45" s="40">
        <v>0.056161369422515525</v>
      </c>
      <c r="Z45" s="40">
        <v>0.052403480011711176</v>
      </c>
      <c r="AA45" s="40">
        <v>0.05068109725858131</v>
      </c>
      <c r="AB45" s="40">
        <v>0.04993130102205438</v>
      </c>
      <c r="AC45" s="40">
        <v>0.04975626766074591</v>
      </c>
      <c r="AD45" s="40">
        <v>0.053175639790898586</v>
      </c>
      <c r="AE45" s="40">
        <v>0.050095764446780794</v>
      </c>
      <c r="AF45" s="40">
        <v>0.05090090636421169</v>
      </c>
      <c r="AG45" s="40">
        <v>0.05067876259775848</v>
      </c>
      <c r="AH45" s="40">
        <v>0.054030887212189155</v>
      </c>
      <c r="AI45" s="40">
        <v>0.05214654273205235</v>
      </c>
      <c r="AJ45" s="40">
        <v>0.05528769653648362</v>
      </c>
      <c r="AK45" s="40">
        <v>0.053239938981520636</v>
      </c>
      <c r="AL45" s="31">
        <v>0.0499255996549821</v>
      </c>
      <c r="AM45" s="31">
        <v>0.047423263051560645</v>
      </c>
      <c r="AN45" s="31">
        <v>0.04339616665445333</v>
      </c>
      <c r="AO45" s="31">
        <v>0.043465128278529344</v>
      </c>
      <c r="AP45" s="31">
        <v>0.0424800575889179</v>
      </c>
      <c r="AQ45" s="31">
        <v>0.04094828886720132</v>
      </c>
      <c r="AR45" s="31">
        <v>0.04053069193744162</v>
      </c>
      <c r="AS45" s="31">
        <v>0.038966602449928195</v>
      </c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40">J46</f>
        <v>0.02449415823</v>
      </c>
      <c r="G46" s="55">
        <f t="shared" si="40"/>
        <v>0.02687079818</v>
      </c>
      <c r="H46" s="32">
        <f t="shared" si="35"/>
        <v>-0.08844694275</v>
      </c>
      <c r="I46" s="30"/>
      <c r="J46" s="40">
        <v>0.024494158229308092</v>
      </c>
      <c r="K46" s="40">
        <v>0.026870798177376122</v>
      </c>
      <c r="L46" s="40">
        <v>0.029504474715528514</v>
      </c>
      <c r="M46" s="40">
        <v>0.026314052854541487</v>
      </c>
      <c r="N46" s="40">
        <v>0.02713704213056437</v>
      </c>
      <c r="O46" s="40">
        <v>0.0280258823055817</v>
      </c>
      <c r="P46" s="40">
        <v>0.028483391282825333</v>
      </c>
      <c r="Q46" s="40">
        <v>0.028987932725640153</v>
      </c>
      <c r="R46" s="40">
        <v>0.0297712842214313</v>
      </c>
      <c r="S46" s="40">
        <v>0.03526234794731465</v>
      </c>
      <c r="T46" s="40">
        <v>0.03856236541185276</v>
      </c>
      <c r="U46" s="40">
        <v>0.03930772583226202</v>
      </c>
      <c r="V46" s="40">
        <v>0.03836076538218299</v>
      </c>
      <c r="W46" s="40">
        <v>0.03275219653168218</v>
      </c>
      <c r="X46" s="40">
        <v>0.031442240907198715</v>
      </c>
      <c r="Y46" s="40">
        <v>0.03196342828564067</v>
      </c>
      <c r="Z46" s="40">
        <v>0.03134506007598197</v>
      </c>
      <c r="AA46" s="40">
        <v>0.027438104136825767</v>
      </c>
      <c r="AB46" s="40">
        <v>0.02329900359536629</v>
      </c>
      <c r="AC46" s="40">
        <v>0.018797504955430804</v>
      </c>
      <c r="AD46" s="40">
        <v>0.015663153450897818</v>
      </c>
      <c r="AE46" s="40">
        <v>0.011722720368694432</v>
      </c>
      <c r="AF46" s="40">
        <v>0.004024029198506993</v>
      </c>
      <c r="AG46" s="40">
        <v>0.0024525626956292687</v>
      </c>
      <c r="AH46" s="40">
        <v>0.0019188711790234221</v>
      </c>
      <c r="AI46" s="40">
        <v>0.0</v>
      </c>
      <c r="AJ46" s="40">
        <v>0.0</v>
      </c>
      <c r="AK46" s="40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>
        <v>0.0</v>
      </c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1">J47</f>
        <v>0.01427972443</v>
      </c>
      <c r="G47" s="55">
        <f t="shared" si="41"/>
        <v>0.01552745759</v>
      </c>
      <c r="H47" s="32">
        <f t="shared" si="35"/>
        <v>-0.0803565654</v>
      </c>
      <c r="I47" s="30"/>
      <c r="J47" s="40">
        <v>0.01427972442882571</v>
      </c>
      <c r="K47" s="40">
        <v>0.015527457590184672</v>
      </c>
      <c r="L47" s="40">
        <v>0.016695458360319805</v>
      </c>
      <c r="M47" s="40">
        <v>0.015213484005596993</v>
      </c>
      <c r="N47" s="40">
        <v>0.015222857910048973</v>
      </c>
      <c r="O47" s="40">
        <v>0.015013956037506514</v>
      </c>
      <c r="P47" s="40">
        <v>0.013222299249854819</v>
      </c>
      <c r="Q47" s="40">
        <v>0.011503892196844119</v>
      </c>
      <c r="R47" s="40">
        <v>0.009756279896777827</v>
      </c>
      <c r="S47" s="40">
        <v>0.008704581295919904</v>
      </c>
      <c r="T47" s="40">
        <v>0.008548400862833367</v>
      </c>
      <c r="U47" s="40">
        <v>0.0065791346766852915</v>
      </c>
      <c r="V47" s="40">
        <v>0.0067997351728037</v>
      </c>
      <c r="W47" s="40">
        <v>0.004863375701980131</v>
      </c>
      <c r="X47" s="31">
        <v>0.004761703150997532</v>
      </c>
      <c r="Y47" s="31">
        <v>0.003270651007730508</v>
      </c>
      <c r="Z47" s="31">
        <v>0.002121362908529717</v>
      </c>
      <c r="AA47" s="31">
        <v>9.839796032713633E-4</v>
      </c>
      <c r="AB47" s="31">
        <v>2.6130162373466155E-4</v>
      </c>
      <c r="AC47" s="31">
        <v>4.4361952051185214E-5</v>
      </c>
      <c r="AD47" s="31">
        <v>6.87417832196471E-6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2">J48</f>
        <v>0.03005351484</v>
      </c>
      <c r="G48" s="55">
        <f t="shared" si="42"/>
        <v>0.02153681637</v>
      </c>
      <c r="H48" s="32">
        <f t="shared" si="35"/>
        <v>0.3954483488</v>
      </c>
      <c r="I48" s="30"/>
      <c r="J48" s="40">
        <v>0.030053514837136416</v>
      </c>
      <c r="K48" s="40">
        <v>0.02153681636610609</v>
      </c>
      <c r="L48" s="40">
        <v>0.013744277118314817</v>
      </c>
      <c r="M48" s="40">
        <v>0.008365470784794264</v>
      </c>
      <c r="N48" s="40">
        <v>0.0030026212577056437</v>
      </c>
      <c r="O48" s="40">
        <v>0.0023941919772833527</v>
      </c>
      <c r="P48" s="40">
        <v>0.0025648928311272808</v>
      </c>
      <c r="Q48" s="40">
        <v>0.0013693925630414857</v>
      </c>
      <c r="R48" s="40">
        <v>0.0016249938138703038</v>
      </c>
      <c r="S48" s="40">
        <v>0.0017431312857143573</v>
      </c>
      <c r="T48" s="40">
        <v>0.00208591520031376</v>
      </c>
      <c r="U48" s="40">
        <v>0.00201569303122663</v>
      </c>
      <c r="V48" s="40">
        <v>0.002670583288344362</v>
      </c>
      <c r="W48" s="40">
        <v>0.004235781229467713</v>
      </c>
      <c r="X48" s="31">
        <v>0.004320079190394777</v>
      </c>
      <c r="Y48" s="31">
        <v>2.514766596284144E-4</v>
      </c>
      <c r="Z48" s="31">
        <v>2.1207700283312836E-5</v>
      </c>
      <c r="AA48" s="31">
        <v>5.04989075657204E-8</v>
      </c>
      <c r="AB48" s="31">
        <v>3.371286193190073E-4</v>
      </c>
      <c r="AC48" s="31">
        <v>6.993030566372585E-5</v>
      </c>
      <c r="AD48" s="31">
        <v>-1.3518297978456277E-16</v>
      </c>
      <c r="AE48" s="31">
        <v>0.002249407359584789</v>
      </c>
      <c r="AF48" s="31">
        <v>2.3720888032239182E-4</v>
      </c>
      <c r="AG48" s="31">
        <v>6.175624398048722E-8</v>
      </c>
      <c r="AH48" s="31">
        <v>-0.0011104423024625532</v>
      </c>
      <c r="AI48" s="31">
        <v>0.0022199595291623707</v>
      </c>
      <c r="AJ48" s="31">
        <v>1.0499843598172718E-6</v>
      </c>
      <c r="AK48" s="31">
        <v>4.4429281728443174E-8</v>
      </c>
      <c r="AL48" s="31">
        <v>3.013949754651732E-16</v>
      </c>
      <c r="AM48" s="31">
        <v>-1.531312674678828E-16</v>
      </c>
      <c r="AN48" s="31">
        <v>-2.246202865124629E-16</v>
      </c>
      <c r="AO48" s="31">
        <v>0.0</v>
      </c>
      <c r="AP48" s="31">
        <v>-7.637545766825503E-17</v>
      </c>
      <c r="AQ48" s="31">
        <v>-1.9813497360682218E-16</v>
      </c>
      <c r="AR48" s="31">
        <v>-4.817641399425085E-16</v>
      </c>
      <c r="AS48" s="31">
        <v>1.020107711445201E-16</v>
      </c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8" t="s">
        <v>37</v>
      </c>
      <c r="D50" s="39" t="s">
        <v>6</v>
      </c>
      <c r="F50" s="5">
        <f t="shared" ref="F50:F56" si="44">K50/P50-1</f>
        <v>0</v>
      </c>
      <c r="G50" s="4"/>
      <c r="H50" s="5"/>
      <c r="J50" s="31">
        <f t="shared" ref="J50:Q50" si="43">J40*$J$14</f>
        <v>4021521.993</v>
      </c>
      <c r="K50" s="31">
        <f t="shared" si="43"/>
        <v>4021521.993</v>
      </c>
      <c r="L50" s="31">
        <f t="shared" si="43"/>
        <v>4021521.993</v>
      </c>
      <c r="M50" s="31">
        <f t="shared" si="43"/>
        <v>4021521.993</v>
      </c>
      <c r="N50" s="31">
        <f t="shared" si="43"/>
        <v>4021521.993</v>
      </c>
      <c r="O50" s="31">
        <f t="shared" si="43"/>
        <v>4021521.993</v>
      </c>
      <c r="P50" s="31">
        <f t="shared" si="43"/>
        <v>4021521.993</v>
      </c>
      <c r="Q50" s="31">
        <f t="shared" si="43"/>
        <v>4021521.993</v>
      </c>
    </row>
    <row r="51">
      <c r="C51" s="38" t="s">
        <v>38</v>
      </c>
      <c r="D51" s="39" t="s">
        <v>6</v>
      </c>
      <c r="F51" s="5">
        <f t="shared" si="44"/>
        <v>-0.04927638922</v>
      </c>
      <c r="G51" s="4"/>
      <c r="H51" s="5"/>
      <c r="J51" s="31">
        <f t="shared" ref="J51:Q51" si="45">J41*$J$14</f>
        <v>2371458.845</v>
      </c>
      <c r="K51" s="31">
        <f t="shared" si="45"/>
        <v>2306785.385</v>
      </c>
      <c r="L51" s="31">
        <f t="shared" si="45"/>
        <v>2351094.591</v>
      </c>
      <c r="M51" s="31">
        <f t="shared" si="45"/>
        <v>2360086.87</v>
      </c>
      <c r="N51" s="31">
        <f t="shared" si="45"/>
        <v>2444888.558</v>
      </c>
      <c r="O51" s="31">
        <f t="shared" si="45"/>
        <v>2421101.32</v>
      </c>
      <c r="P51" s="31">
        <f t="shared" si="45"/>
        <v>2426347.005</v>
      </c>
      <c r="Q51" s="31">
        <f t="shared" si="45"/>
        <v>2468377.453</v>
      </c>
    </row>
    <row r="52">
      <c r="C52" s="38" t="s">
        <v>29</v>
      </c>
      <c r="D52" s="39" t="s">
        <v>6</v>
      </c>
      <c r="F52" s="5">
        <f t="shared" si="44"/>
        <v>0.03373028388</v>
      </c>
      <c r="G52" s="4"/>
      <c r="H52" s="5"/>
      <c r="J52" s="31">
        <f t="shared" ref="J52:Q52" si="46">J42*$J$14</f>
        <v>509990.0964</v>
      </c>
      <c r="K52" s="31">
        <f t="shared" si="46"/>
        <v>529274.6379</v>
      </c>
      <c r="L52" s="31">
        <f t="shared" si="46"/>
        <v>504910.5701</v>
      </c>
      <c r="M52" s="31">
        <f t="shared" si="46"/>
        <v>482601.1303</v>
      </c>
      <c r="N52" s="31">
        <f t="shared" si="46"/>
        <v>481212.0754</v>
      </c>
      <c r="O52" s="31">
        <f t="shared" si="46"/>
        <v>526119.8598</v>
      </c>
      <c r="P52" s="31">
        <f t="shared" si="46"/>
        <v>512004.5782</v>
      </c>
      <c r="Q52" s="31">
        <f t="shared" si="46"/>
        <v>435064.1862</v>
      </c>
    </row>
    <row r="53">
      <c r="C53" s="38" t="s">
        <v>39</v>
      </c>
      <c r="D53" s="39" t="s">
        <v>6</v>
      </c>
      <c r="F53" s="5">
        <f t="shared" si="44"/>
        <v>0.009974620675</v>
      </c>
      <c r="G53" s="4"/>
      <c r="H53" s="5"/>
      <c r="J53" s="31">
        <f t="shared" ref="J53:Q53" si="47">J43*$J$14</f>
        <v>616305.3936</v>
      </c>
      <c r="K53" s="31">
        <f t="shared" si="47"/>
        <v>676343.5665</v>
      </c>
      <c r="L53" s="31">
        <f t="shared" si="47"/>
        <v>646447.5342</v>
      </c>
      <c r="M53" s="31">
        <f t="shared" si="47"/>
        <v>683566.4984</v>
      </c>
      <c r="N53" s="31">
        <f t="shared" si="47"/>
        <v>660529.7024</v>
      </c>
      <c r="O53" s="31">
        <f t="shared" si="47"/>
        <v>655825.0409</v>
      </c>
      <c r="P53" s="31">
        <f t="shared" si="47"/>
        <v>669663.9229</v>
      </c>
      <c r="Q53" s="31">
        <f t="shared" si="47"/>
        <v>679667.343</v>
      </c>
    </row>
    <row r="54">
      <c r="C54" s="38" t="s">
        <v>40</v>
      </c>
      <c r="D54" s="39" t="s">
        <v>6</v>
      </c>
      <c r="F54" s="5">
        <f t="shared" si="44"/>
        <v>1.348423074</v>
      </c>
      <c r="G54" s="4"/>
      <c r="H54" s="5"/>
      <c r="J54" s="31">
        <f t="shared" ref="J54:Q54" si="48">J44*$J$14</f>
        <v>55376.31653</v>
      </c>
      <c r="K54" s="31">
        <f t="shared" si="48"/>
        <v>69793.48708</v>
      </c>
      <c r="L54" s="31">
        <f t="shared" si="48"/>
        <v>78457.35965</v>
      </c>
      <c r="M54" s="31">
        <f t="shared" si="48"/>
        <v>92287.98626</v>
      </c>
      <c r="N54" s="31">
        <f t="shared" si="48"/>
        <v>51388.51101</v>
      </c>
      <c r="O54" s="31">
        <f t="shared" si="48"/>
        <v>34194.98562</v>
      </c>
      <c r="P54" s="31">
        <f t="shared" si="48"/>
        <v>29719.29881</v>
      </c>
      <c r="Q54" s="31">
        <f t="shared" si="48"/>
        <v>54621.79062</v>
      </c>
    </row>
    <row r="55">
      <c r="C55" s="38" t="s">
        <v>41</v>
      </c>
      <c r="D55" s="39" t="s">
        <v>6</v>
      </c>
      <c r="F55" s="5">
        <f t="shared" si="44"/>
        <v>-0.1144262948</v>
      </c>
      <c r="G55" s="4"/>
      <c r="H55" s="5"/>
      <c r="J55" s="31">
        <f t="shared" ref="J55:Q55" si="49">J45*$J$14</f>
        <v>191600.4495</v>
      </c>
      <c r="K55" s="31">
        <f t="shared" si="49"/>
        <v>182208.6178</v>
      </c>
      <c r="L55" s="31">
        <f t="shared" si="49"/>
        <v>199544.9791</v>
      </c>
      <c r="M55" s="31">
        <f t="shared" si="49"/>
        <v>202333.6806</v>
      </c>
      <c r="N55" s="31">
        <f t="shared" si="49"/>
        <v>201076.7698</v>
      </c>
      <c r="O55" s="31">
        <f t="shared" si="49"/>
        <v>201566.8347</v>
      </c>
      <c r="P55" s="31">
        <f t="shared" si="49"/>
        <v>205752.0641</v>
      </c>
      <c r="Q55" s="31">
        <f t="shared" si="49"/>
        <v>215445.4142</v>
      </c>
    </row>
    <row r="56">
      <c r="C56" s="38" t="s">
        <v>33</v>
      </c>
      <c r="D56" s="39" t="s">
        <v>6</v>
      </c>
      <c r="F56" s="5">
        <f t="shared" si="44"/>
        <v>-0.05661520742</v>
      </c>
      <c r="G56" s="4"/>
      <c r="H56" s="5"/>
      <c r="J56" s="31">
        <f t="shared" ref="J56:Q56" si="50">J46*$J$14</f>
        <v>98503.79603</v>
      </c>
      <c r="K56" s="31">
        <f t="shared" si="50"/>
        <v>108061.5058</v>
      </c>
      <c r="L56" s="31">
        <f t="shared" si="50"/>
        <v>118652.894</v>
      </c>
      <c r="M56" s="31">
        <f t="shared" si="50"/>
        <v>105822.5423</v>
      </c>
      <c r="N56" s="31">
        <f t="shared" si="50"/>
        <v>109132.2118</v>
      </c>
      <c r="O56" s="31">
        <f t="shared" si="50"/>
        <v>112706.7021</v>
      </c>
      <c r="P56" s="31">
        <f t="shared" si="50"/>
        <v>114546.5845</v>
      </c>
      <c r="Q56" s="31">
        <f t="shared" si="50"/>
        <v>116575.609</v>
      </c>
    </row>
    <row r="57">
      <c r="D57" s="3"/>
      <c r="F57" s="4"/>
      <c r="G57" s="4"/>
      <c r="H57" s="5"/>
    </row>
    <row r="58">
      <c r="D58" s="3"/>
      <c r="F58" s="4"/>
      <c r="G58" s="4"/>
      <c r="H58" s="5"/>
    </row>
    <row r="59">
      <c r="D59" s="3"/>
      <c r="F59" s="4"/>
      <c r="G59" s="4"/>
      <c r="H59" s="5"/>
    </row>
    <row r="60">
      <c r="D60" s="3"/>
      <c r="F60" s="4"/>
      <c r="G60" s="4"/>
      <c r="H60" s="5"/>
    </row>
    <row r="61">
      <c r="D61" s="3"/>
      <c r="F61" s="4"/>
      <c r="G61" s="4"/>
      <c r="H61" s="5"/>
    </row>
    <row r="62">
      <c r="D62" s="3"/>
      <c r="F62" s="4"/>
      <c r="G62" s="4"/>
      <c r="H62" s="5"/>
    </row>
    <row r="63">
      <c r="D63" s="3"/>
      <c r="F63" s="4"/>
      <c r="G63" s="4"/>
      <c r="H63" s="5"/>
    </row>
    <row r="64">
      <c r="D64" s="3"/>
      <c r="F64" s="4"/>
      <c r="G64" s="4"/>
      <c r="H64" s="5"/>
    </row>
    <row r="65">
      <c r="D65" s="3"/>
      <c r="F65" s="4"/>
      <c r="G65" s="4"/>
      <c r="H65" s="5"/>
    </row>
    <row r="66">
      <c r="D66" s="3"/>
      <c r="F66" s="4"/>
      <c r="G66" s="4"/>
      <c r="H66" s="5"/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3"/>
    </customSheetView>
  </customSheetViews>
  <mergeCells count="1">
    <mergeCell ref="C1:C2"/>
  </mergeCells>
  <conditionalFormatting sqref="H6 H8:H12 H14:H16 H18:H19 H21:H22 H24:H26 H29:H37 H40:H48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53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</row>
    <row r="3" ht="44.25" customHeight="1">
      <c r="C3" s="2" t="s">
        <v>2</v>
      </c>
      <c r="D3" s="3"/>
      <c r="E3" s="10"/>
      <c r="F3" s="11">
        <f t="shared" ref="F3:G3" si="1">J3</f>
        <v>45992</v>
      </c>
      <c r="G3" s="11">
        <f t="shared" si="1"/>
        <v>45962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2">J6</f>
        <v>18339237</v>
      </c>
      <c r="G6" s="31">
        <f t="shared" si="2"/>
        <v>17281144.43</v>
      </c>
      <c r="H6" s="32">
        <f>IFERROR(F6/G6-1,"-")</f>
        <v>0.06122815365</v>
      </c>
      <c r="I6" s="30"/>
      <c r="J6" s="31">
        <v>1.8339237E7</v>
      </c>
      <c r="K6" s="31">
        <v>1.7281144433333334E7</v>
      </c>
      <c r="L6" s="31">
        <v>1.7102700322580647E7</v>
      </c>
      <c r="M6" s="31">
        <v>1.69379619E7</v>
      </c>
      <c r="N6" s="31">
        <v>1.707958470967742E7</v>
      </c>
      <c r="O6" s="31">
        <v>1.7136958903225806E7</v>
      </c>
      <c r="P6" s="31">
        <v>1.73849934E7</v>
      </c>
      <c r="Q6" s="31">
        <v>1.6918354225806452E7</v>
      </c>
      <c r="R6" s="31">
        <v>1.60963299E7</v>
      </c>
      <c r="S6" s="31">
        <v>1.6817605741935484E7</v>
      </c>
      <c r="T6" s="31">
        <v>1.6879456535714287E7</v>
      </c>
      <c r="U6" s="31">
        <v>1.6998221548387095E7</v>
      </c>
      <c r="V6" s="31">
        <v>1.7538042032258064E7</v>
      </c>
      <c r="W6" s="31">
        <v>1.6611989666666666E7</v>
      </c>
      <c r="X6" s="31">
        <v>1.6105665290322581E7</v>
      </c>
      <c r="Y6" s="31">
        <v>1.60461095E7</v>
      </c>
      <c r="Z6" s="31">
        <v>1.5844414741935484E7</v>
      </c>
      <c r="AA6" s="31">
        <v>1.5872345709677419E7</v>
      </c>
      <c r="AB6" s="31">
        <v>1.5339636566666666E7</v>
      </c>
      <c r="AC6" s="31">
        <v>1.508382741935484E7</v>
      </c>
      <c r="AD6" s="31">
        <v>1.54036858E7</v>
      </c>
      <c r="AE6" s="31">
        <v>1.5497053612903226E7</v>
      </c>
      <c r="AF6" s="31">
        <v>1.5283954931034483E7</v>
      </c>
      <c r="AG6" s="31">
        <v>1.5486220709677419E7</v>
      </c>
      <c r="AH6" s="31">
        <v>1.597587858064516E7</v>
      </c>
      <c r="AI6" s="31">
        <v>1.53182185E7</v>
      </c>
      <c r="AJ6" s="31">
        <v>1.3995607290322581E7</v>
      </c>
      <c r="AK6" s="31">
        <v>1.3468805633333333E7</v>
      </c>
      <c r="AL6" s="31">
        <v>1.316419635483871E7</v>
      </c>
      <c r="AM6" s="31">
        <v>1.2108635064516129E7</v>
      </c>
      <c r="AN6" s="31">
        <v>1.1705488233333332E7</v>
      </c>
      <c r="AO6" s="31">
        <v>1.1815336935483871E7</v>
      </c>
      <c r="AP6" s="31">
        <v>1.13773083E7</v>
      </c>
      <c r="AQ6" s="31">
        <v>1.1598694483870968E7</v>
      </c>
      <c r="AR6" s="31">
        <v>1.145225892857143E7</v>
      </c>
      <c r="AS6" s="31">
        <v>1.1929553870967742E7</v>
      </c>
      <c r="AT6" s="31">
        <v>1.2147940548387097E7</v>
      </c>
      <c r="AU6" s="31">
        <v>1.1775940166666666E7</v>
      </c>
      <c r="AV6" s="31">
        <v>1.1305193451612903E7</v>
      </c>
      <c r="AW6" s="31">
        <v>1.1720114733333332E7</v>
      </c>
      <c r="AX6" s="31">
        <v>1.1754148677419355E7</v>
      </c>
      <c r="AY6" s="33">
        <v>1.1414976451612903E7</v>
      </c>
      <c r="AZ6" s="33">
        <v>1.1119466333333334E7</v>
      </c>
      <c r="BA6" s="33">
        <v>1.0945058161290323E7</v>
      </c>
      <c r="BB6" s="33">
        <v>1.0583459466666667E7</v>
      </c>
      <c r="BC6" s="33">
        <v>1.0869978774193548E7</v>
      </c>
      <c r="BD6" s="33">
        <v>1.0647241857142856E7</v>
      </c>
      <c r="BE6" s="33">
        <v>1.0485570225806452E7</v>
      </c>
    </row>
    <row r="7">
      <c r="D7" s="3"/>
      <c r="F7" s="4"/>
      <c r="G7" s="4"/>
      <c r="H7" s="5"/>
      <c r="L7" s="35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3">J8</f>
        <v>3612321.111</v>
      </c>
      <c r="G8" s="31">
        <f t="shared" si="3"/>
        <v>3026805.667</v>
      </c>
      <c r="H8" s="32">
        <f t="shared" ref="H8:H12" si="5">IFERROR(F8/G8-1,"-")</f>
        <v>0.1934433554</v>
      </c>
      <c r="I8" s="30"/>
      <c r="J8" s="31">
        <v>3612321.111111111</v>
      </c>
      <c r="K8" s="31">
        <v>3026805.6666666665</v>
      </c>
      <c r="L8" s="31">
        <v>2806184.870967742</v>
      </c>
      <c r="M8" s="31">
        <v>2716879.2333333334</v>
      </c>
      <c r="N8" s="31">
        <v>2750229.1612903224</v>
      </c>
      <c r="O8" s="31">
        <v>2768812.4516129033</v>
      </c>
      <c r="P8" s="31">
        <v>2882284.8666666667</v>
      </c>
      <c r="Q8" s="31">
        <v>2727457.3225806453</v>
      </c>
      <c r="R8" s="31">
        <v>2395353.066666667</v>
      </c>
      <c r="S8" s="31">
        <v>2567528.6774193547</v>
      </c>
      <c r="T8" s="31">
        <v>2413389.75</v>
      </c>
      <c r="U8" s="31">
        <v>2590223.806451613</v>
      </c>
      <c r="V8" s="31">
        <v>2709780.1612903224</v>
      </c>
      <c r="W8" s="31">
        <v>2458284.6333333333</v>
      </c>
      <c r="X8" s="31">
        <v>2155046.193548387</v>
      </c>
      <c r="Y8" s="31">
        <v>2304647.7666666666</v>
      </c>
      <c r="Z8" s="31">
        <v>2274543.4838709678</v>
      </c>
      <c r="AA8" s="31">
        <v>2345434.129032258</v>
      </c>
      <c r="AB8" s="31">
        <v>2202877.1666666665</v>
      </c>
      <c r="AC8" s="31">
        <v>2194342.709677419</v>
      </c>
      <c r="AD8" s="31">
        <v>2149906.066666667</v>
      </c>
      <c r="AE8" s="31">
        <v>2312581.5161290322</v>
      </c>
      <c r="AF8" s="31">
        <v>2289297.6551724137</v>
      </c>
      <c r="AG8" s="31">
        <v>2309156.064516129</v>
      </c>
      <c r="AH8" s="31">
        <v>2741853.6774193547</v>
      </c>
      <c r="AI8" s="31">
        <v>2550264.8666666667</v>
      </c>
      <c r="AJ8" s="36">
        <v>2184323.806451613</v>
      </c>
      <c r="AK8" s="36">
        <v>2163916.5</v>
      </c>
      <c r="AL8" s="36">
        <v>2130713.193548387</v>
      </c>
      <c r="AM8" s="36">
        <v>1890641.8064516129</v>
      </c>
      <c r="AN8" s="36">
        <v>1696701.4</v>
      </c>
      <c r="AO8" s="36">
        <v>1645089.0</v>
      </c>
      <c r="AP8" s="36">
        <v>1502517.3666666667</v>
      </c>
      <c r="AQ8" s="36">
        <v>1567194.064516129</v>
      </c>
      <c r="AR8" s="36">
        <v>1448790.392857143</v>
      </c>
      <c r="AS8" s="36">
        <v>1560080.7096774194</v>
      </c>
      <c r="AT8" s="36">
        <v>1671519.064516129</v>
      </c>
      <c r="AU8" s="36">
        <v>1606311.2666666666</v>
      </c>
      <c r="AV8" s="36">
        <v>1454289.1935483871</v>
      </c>
      <c r="AW8" s="36">
        <v>1516528.5333333334</v>
      </c>
      <c r="AX8" s="36">
        <v>1639966.0967741935</v>
      </c>
      <c r="AY8" s="37">
        <v>1622938.064516129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4">J9</f>
        <v>0.1969722683</v>
      </c>
      <c r="G9" s="40">
        <f t="shared" si="4"/>
        <v>0.1751507649</v>
      </c>
      <c r="H9" s="32">
        <f t="shared" si="5"/>
        <v>0.1245869716</v>
      </c>
      <c r="I9" s="30"/>
      <c r="J9" s="40">
        <v>0.19697226831798462</v>
      </c>
      <c r="K9" s="40">
        <v>0.1751507649475059</v>
      </c>
      <c r="L9" s="40">
        <v>0.16407846819737257</v>
      </c>
      <c r="M9" s="40">
        <v>0.1604017797048731</v>
      </c>
      <c r="N9" s="40">
        <v>0.16102435791263836</v>
      </c>
      <c r="O9" s="40">
        <v>0.1615696499739934</v>
      </c>
      <c r="P9" s="40">
        <v>0.16579154218526576</v>
      </c>
      <c r="Q9" s="40">
        <v>0.16121292214229158</v>
      </c>
      <c r="R9" s="40">
        <v>0.1488136166162118</v>
      </c>
      <c r="S9" s="40">
        <v>0.15266909670840376</v>
      </c>
      <c r="T9" s="40">
        <v>0.142977929703699</v>
      </c>
      <c r="U9" s="40">
        <v>0.15238204767941685</v>
      </c>
      <c r="V9" s="40">
        <v>0.15450870492305646</v>
      </c>
      <c r="W9" s="40">
        <v>0.14798255252145293</v>
      </c>
      <c r="X9" s="40">
        <v>0.1338067167485028</v>
      </c>
      <c r="Y9" s="40">
        <v>0.1436265760660967</v>
      </c>
      <c r="Z9" s="40">
        <v>0.14355490694464865</v>
      </c>
      <c r="AA9" s="40">
        <v>0.1477685889617588</v>
      </c>
      <c r="AB9" s="40">
        <v>0.14360686820009558</v>
      </c>
      <c r="AC9" s="40">
        <v>0.1454765192328934</v>
      </c>
      <c r="AD9" s="40">
        <v>0.13957088547383034</v>
      </c>
      <c r="AE9" s="40">
        <v>0.14922717400961433</v>
      </c>
      <c r="AF9" s="40">
        <v>0.1497843761972847</v>
      </c>
      <c r="AG9" s="40">
        <v>0.1491103677137396</v>
      </c>
      <c r="AH9" s="40">
        <v>0.1716245941391368</v>
      </c>
      <c r="AI9" s="40">
        <v>0.1664857350524584</v>
      </c>
      <c r="AJ9" s="36">
        <v>0.1560720989908018</v>
      </c>
      <c r="AK9" s="36">
        <v>0.1606613503015161</v>
      </c>
      <c r="AL9" s="36">
        <v>0.16185668582535304</v>
      </c>
      <c r="AM9" s="36">
        <v>0.1561399609764492</v>
      </c>
      <c r="AN9" s="36">
        <v>0.14494922092769777</v>
      </c>
      <c r="AO9" s="36">
        <v>0.13923335483218102</v>
      </c>
      <c r="AP9" s="36">
        <v>0.1320626396901512</v>
      </c>
      <c r="AQ9" s="36">
        <v>0.13511814339928116</v>
      </c>
      <c r="AR9" s="36">
        <v>0.12650695394623487</v>
      </c>
      <c r="AS9" s="36">
        <v>0.13077443855416057</v>
      </c>
      <c r="AT9" s="36">
        <v>0.1375969085342667</v>
      </c>
      <c r="AU9" s="36">
        <v>0.1364062014524785</v>
      </c>
      <c r="AV9" s="36">
        <v>0.12863903654305933</v>
      </c>
      <c r="AW9" s="36">
        <v>0.12939536581669758</v>
      </c>
      <c r="AX9" s="36">
        <v>0.13952232031271625</v>
      </c>
      <c r="AY9" s="37">
        <v>0.14217620784375884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6">J10</f>
        <v>6293860.111</v>
      </c>
      <c r="G10" s="31">
        <f t="shared" si="6"/>
        <v>5200335.3</v>
      </c>
      <c r="H10" s="32">
        <f t="shared" si="5"/>
        <v>0.2102796739</v>
      </c>
      <c r="I10" s="30"/>
      <c r="J10" s="31">
        <v>6293860.111111051</v>
      </c>
      <c r="K10" s="31">
        <v>5200335.300000017</v>
      </c>
      <c r="L10" s="31">
        <v>4680338.032258073</v>
      </c>
      <c r="M10" s="31">
        <v>4477740.5333333565</v>
      </c>
      <c r="N10" s="31">
        <v>4503779.483870983</v>
      </c>
      <c r="O10" s="31">
        <v>4500213.548387114</v>
      </c>
      <c r="P10" s="31">
        <v>4750308.400000012</v>
      </c>
      <c r="Q10" s="31">
        <v>4423100.935483897</v>
      </c>
      <c r="R10" s="31">
        <v>3752026.300000037</v>
      </c>
      <c r="S10" s="31">
        <v>4029361.129032298</v>
      </c>
      <c r="T10" s="31">
        <v>3705073.785714321</v>
      </c>
      <c r="U10" s="31">
        <v>4011587.4193548877</v>
      </c>
      <c r="V10" s="31">
        <v>4369959.354838776</v>
      </c>
      <c r="W10" s="31">
        <v>3916184.8333334057</v>
      </c>
      <c r="X10" s="31">
        <v>3251421.2580645415</v>
      </c>
      <c r="Y10" s="31">
        <v>3494131.3000000287</v>
      </c>
      <c r="Z10" s="31">
        <v>3398056.935483898</v>
      </c>
      <c r="AA10" s="31">
        <v>3544385.096774225</v>
      </c>
      <c r="AB10" s="31">
        <v>3322701.8333333586</v>
      </c>
      <c r="AC10" s="31">
        <v>3303896.6451613195</v>
      </c>
      <c r="AD10" s="31">
        <v>3188169.266666692</v>
      </c>
      <c r="AE10" s="31">
        <v>3417076.193548421</v>
      </c>
      <c r="AF10" s="31">
        <v>3351443.137931069</v>
      </c>
      <c r="AG10" s="31">
        <v>3417429.5806452003</v>
      </c>
      <c r="AH10" s="31">
        <v>4225934.741935537</v>
      </c>
      <c r="AI10" s="31">
        <v>3867057.033333381</v>
      </c>
      <c r="AJ10" s="36">
        <v>3255884.645161319</v>
      </c>
      <c r="AK10" s="36">
        <v>3179289.200000025</v>
      </c>
      <c r="AL10" s="36">
        <v>3158281.6129032555</v>
      </c>
      <c r="AM10" s="36">
        <v>2896906.7096774424</v>
      </c>
      <c r="AN10" s="36">
        <v>2597983.4333333424</v>
      </c>
      <c r="AO10" s="36">
        <v>2523219.548387107</v>
      </c>
      <c r="AP10" s="36">
        <v>2317777.500000001</v>
      </c>
      <c r="AQ10" s="36">
        <v>2429740.2258064547</v>
      </c>
      <c r="AR10" s="36">
        <v>2198569.999999997</v>
      </c>
      <c r="AS10" s="36">
        <v>2356529.161290328</v>
      </c>
      <c r="AT10" s="36">
        <v>2635698.806451622</v>
      </c>
      <c r="AU10" s="36">
        <v>2518974.533333334</v>
      </c>
      <c r="AV10" s="36">
        <v>2238847.612903216</v>
      </c>
      <c r="AW10" s="36">
        <v>2334330.2666666573</v>
      </c>
      <c r="AX10" s="36">
        <v>2595115.1935483925</v>
      </c>
      <c r="AY10" s="37">
        <v>2600493.903225808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7">J11</f>
        <v>0.3431909469</v>
      </c>
      <c r="G11" s="41">
        <f t="shared" si="7"/>
        <v>0.3009253999</v>
      </c>
      <c r="H11" s="32">
        <f t="shared" si="5"/>
        <v>0.1404519092</v>
      </c>
      <c r="I11" s="30"/>
      <c r="J11" s="41">
        <v>0.3431909468813262</v>
      </c>
      <c r="K11" s="41">
        <v>0.30092539993874307</v>
      </c>
      <c r="L11" s="41">
        <v>0.2736607637379131</v>
      </c>
      <c r="M11" s="41">
        <v>0.26436123541719364</v>
      </c>
      <c r="N11" s="41">
        <v>0.26369373497232096</v>
      </c>
      <c r="O11" s="41">
        <v>0.2626028091565306</v>
      </c>
      <c r="P11" s="41">
        <v>0.2732418868792905</v>
      </c>
      <c r="Q11" s="41">
        <v>0.261438014386595</v>
      </c>
      <c r="R11" s="41">
        <v>0.2330982480670974</v>
      </c>
      <c r="S11" s="41">
        <v>0.2395918414822211</v>
      </c>
      <c r="T11" s="41">
        <v>0.21950195954916943</v>
      </c>
      <c r="U11" s="41">
        <v>0.23600041968717214</v>
      </c>
      <c r="V11" s="41">
        <v>0.24917030913719015</v>
      </c>
      <c r="W11" s="41">
        <v>0.23574447804958337</v>
      </c>
      <c r="X11" s="41">
        <v>0.2018805929127451</v>
      </c>
      <c r="Y11" s="41">
        <v>0.217755668437887</v>
      </c>
      <c r="Z11" s="41">
        <v>0.21446402349531066</v>
      </c>
      <c r="AA11" s="41">
        <v>0.22330568912780185</v>
      </c>
      <c r="AB11" s="41">
        <v>0.21660890197057572</v>
      </c>
      <c r="AC11" s="41">
        <v>0.2190356965316322</v>
      </c>
      <c r="AD11" s="41">
        <v>0.20697444157596956</v>
      </c>
      <c r="AE11" s="41">
        <v>0.22049844305263805</v>
      </c>
      <c r="AF11" s="41">
        <v>0.21927852791072244</v>
      </c>
      <c r="AG11" s="41">
        <v>0.22067550532258856</v>
      </c>
      <c r="AH11" s="41">
        <v>0.2645197082966863</v>
      </c>
      <c r="AI11" s="41">
        <v>0.2524482225745364</v>
      </c>
      <c r="AJ11" s="31">
        <v>0.23263618202638744</v>
      </c>
      <c r="AK11" s="31">
        <v>0.2360483391438768</v>
      </c>
      <c r="AL11" s="31">
        <v>0.2399145020153379</v>
      </c>
      <c r="AM11" s="31">
        <v>0.23924304384783318</v>
      </c>
      <c r="AN11" s="31">
        <v>0.221945755832307</v>
      </c>
      <c r="AO11" s="31">
        <v>0.2135545995992178</v>
      </c>
      <c r="AP11" s="31">
        <v>0.20371931909413063</v>
      </c>
      <c r="AQ11" s="31">
        <v>0.20948394055772637</v>
      </c>
      <c r="AR11" s="31">
        <v>0.19197697272761977</v>
      </c>
      <c r="AS11" s="31">
        <v>0.19753707362228148</v>
      </c>
      <c r="AT11" s="31">
        <v>0.2169667192519779</v>
      </c>
      <c r="AU11" s="31">
        <v>0.21390857100850597</v>
      </c>
      <c r="AV11" s="31">
        <v>0.19803708998750494</v>
      </c>
      <c r="AW11" s="31">
        <v>0.19917298761824898</v>
      </c>
      <c r="AX11" s="31">
        <v>0.2207829137412404</v>
      </c>
      <c r="AY11" s="33">
        <v>0.2278142153204675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8">J12</f>
        <v>42286509.81</v>
      </c>
      <c r="G12" s="31">
        <f t="shared" si="8"/>
        <v>37650710.76</v>
      </c>
      <c r="H12" s="32">
        <f t="shared" si="5"/>
        <v>0.1231264683</v>
      </c>
      <c r="I12" s="30"/>
      <c r="J12" s="31">
        <v>4.228650980681182E7</v>
      </c>
      <c r="K12" s="31">
        <v>3.765071076211136E7</v>
      </c>
      <c r="L12" s="31">
        <v>3.3650764794924304E7</v>
      </c>
      <c r="M12" s="31">
        <v>3.2647154340717237E7</v>
      </c>
      <c r="N12" s="31">
        <v>3.152037806159906E7</v>
      </c>
      <c r="O12" s="31">
        <v>3.1797980289954543E7</v>
      </c>
      <c r="P12" s="31">
        <v>3.3467383113577545E7</v>
      </c>
      <c r="Q12" s="31">
        <v>3.1750349309573054E7</v>
      </c>
      <c r="R12" s="31">
        <v>2.7462654617983323E7</v>
      </c>
      <c r="S12" s="31">
        <v>2.7895533110775895E7</v>
      </c>
      <c r="T12" s="31">
        <v>2.639691524963432E7</v>
      </c>
      <c r="U12" s="31">
        <v>2.7575230278557498E7</v>
      </c>
      <c r="V12" s="31">
        <v>3.145479331708792E7</v>
      </c>
      <c r="W12" s="31">
        <v>2.847489829977019E7</v>
      </c>
      <c r="X12" s="31">
        <v>2.5150762295993738E7</v>
      </c>
      <c r="Y12" s="31">
        <v>2.5605191850650918E7</v>
      </c>
      <c r="Z12" s="31">
        <v>2.4238244728451103E7</v>
      </c>
      <c r="AA12" s="31">
        <v>2.424851182978998E7</v>
      </c>
      <c r="AB12" s="31">
        <v>2.3258025550194886E7</v>
      </c>
      <c r="AC12" s="31">
        <v>2.3737760668372504E7</v>
      </c>
      <c r="AD12" s="31">
        <v>2.3504662069067374E7</v>
      </c>
      <c r="AE12" s="31">
        <v>2.3609901869278878E7</v>
      </c>
      <c r="AF12" s="31">
        <v>2.3883775766883727E7</v>
      </c>
      <c r="AG12" s="31">
        <v>2.47854412877637E7</v>
      </c>
      <c r="AH12" s="31">
        <v>2.9851590418652374E7</v>
      </c>
      <c r="AI12" s="31">
        <v>2.5895152558359914E7</v>
      </c>
      <c r="AJ12" s="31">
        <v>2.196674989852333E7</v>
      </c>
      <c r="AK12" s="31">
        <v>2.16356590363478E7</v>
      </c>
      <c r="AL12" s="31">
        <v>2.1872098849610683E7</v>
      </c>
      <c r="AM12" s="31">
        <v>2.0367446466191247E7</v>
      </c>
      <c r="AN12" s="31">
        <v>1.9125161017056353E7</v>
      </c>
      <c r="AO12" s="31">
        <v>1.900206873695843E7</v>
      </c>
      <c r="AP12" s="31">
        <v>1.8792345568106405E7</v>
      </c>
      <c r="AQ12" s="31">
        <v>1.9587979167357113E7</v>
      </c>
      <c r="AR12" s="31">
        <v>1.9544386176318612E7</v>
      </c>
      <c r="AS12" s="31">
        <v>2.007349928108612E7</v>
      </c>
      <c r="AT12" s="31">
        <v>2.2624098079394374E7</v>
      </c>
      <c r="AU12" s="31">
        <v>2.1676959454431143E7</v>
      </c>
      <c r="AV12" s="31">
        <v>1.822315728072889E7</v>
      </c>
      <c r="AW12" s="31">
        <v>2.0003831354606595E7</v>
      </c>
      <c r="AX12" s="31">
        <v>2.1136306345914707E7</v>
      </c>
      <c r="AY12" s="33">
        <v>2.0522157577851046E7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  <c r="J13" s="42"/>
      <c r="K13" s="42"/>
      <c r="L13" s="42"/>
      <c r="M13" s="42"/>
      <c r="N13" s="42"/>
      <c r="O13" s="42"/>
      <c r="P13" s="42"/>
      <c r="Q13" s="42"/>
      <c r="R13" s="42"/>
      <c r="S13" s="42"/>
    </row>
    <row r="14" ht="16.5" customHeight="1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9">J14</f>
        <v>1711384.111</v>
      </c>
      <c r="G14" s="31">
        <f t="shared" si="9"/>
        <v>1530728.346</v>
      </c>
      <c r="H14" s="32">
        <f t="shared" ref="H14:H16" si="11">IFERROR(F14/G14-1,"-")</f>
        <v>0.1180194811</v>
      </c>
      <c r="I14" s="30"/>
      <c r="J14" s="31">
        <v>1711384.1111703664</v>
      </c>
      <c r="K14" s="31">
        <v>1530728.3461006347</v>
      </c>
      <c r="L14" s="31">
        <v>1345019.6736693964</v>
      </c>
      <c r="M14" s="31">
        <v>1291280.2825530996</v>
      </c>
      <c r="N14" s="31">
        <v>1208899.6070027358</v>
      </c>
      <c r="O14" s="31">
        <v>1205351.9066881877</v>
      </c>
      <c r="P14" s="31">
        <v>1227509.855660211</v>
      </c>
      <c r="Q14" s="31">
        <v>1094530.7616483616</v>
      </c>
      <c r="R14" s="31">
        <v>882195.2623338505</v>
      </c>
      <c r="S14" s="31">
        <v>834766.9531675903</v>
      </c>
      <c r="T14" s="31">
        <v>764634.0484017192</v>
      </c>
      <c r="U14" s="31">
        <v>783118.2535912446</v>
      </c>
      <c r="V14" s="31">
        <v>909541.7824390756</v>
      </c>
      <c r="W14" s="31">
        <v>847869.3989257705</v>
      </c>
      <c r="X14" s="36">
        <v>785172.1703220048</v>
      </c>
      <c r="Y14" s="36">
        <v>795607.5498352726</v>
      </c>
      <c r="Z14" s="36">
        <v>750964.1038145339</v>
      </c>
      <c r="AA14" s="36">
        <v>729214.6517915177</v>
      </c>
      <c r="AB14" s="36">
        <v>696240.4198340098</v>
      </c>
      <c r="AC14" s="36">
        <v>620957.9519942759</v>
      </c>
      <c r="AD14" s="36">
        <v>607772.1132565353</v>
      </c>
      <c r="AE14" s="36">
        <v>580367.1853724781</v>
      </c>
      <c r="AF14" s="36">
        <v>526718.1707833437</v>
      </c>
      <c r="AG14" s="36">
        <v>562227.3161431826</v>
      </c>
      <c r="AH14" s="36">
        <v>616672.2246439878</v>
      </c>
      <c r="AI14" s="36">
        <v>584350.3866713579</v>
      </c>
      <c r="AJ14" s="36">
        <v>510362.23591111816</v>
      </c>
      <c r="AK14" s="36">
        <v>494714.97941532003</v>
      </c>
      <c r="AL14" s="36">
        <v>500195.35078431363</v>
      </c>
      <c r="AM14" s="36">
        <v>491302.0599240704</v>
      </c>
      <c r="AN14" s="36">
        <v>455951.6753471613</v>
      </c>
      <c r="AO14" s="36">
        <v>425731.5954539931</v>
      </c>
      <c r="AP14" s="36">
        <v>421108.9198854565</v>
      </c>
      <c r="AQ14" s="36">
        <v>436964.9483791136</v>
      </c>
      <c r="AR14" s="36">
        <v>428220.64662812225</v>
      </c>
      <c r="AS14" s="36">
        <v>424201.0182014199</v>
      </c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>
        <f t="shared" ref="F15:G15" si="10">J15</f>
        <v>0.04047116016</v>
      </c>
      <c r="G15" s="40">
        <f t="shared" si="10"/>
        <v>0.04065602787</v>
      </c>
      <c r="H15" s="32">
        <f t="shared" si="11"/>
        <v>-0.004547116786</v>
      </c>
      <c r="I15" s="30"/>
      <c r="J15" s="40">
        <v>0.04047116016405507</v>
      </c>
      <c r="K15" s="40">
        <v>0.0406560278708214</v>
      </c>
      <c r="L15" s="40">
        <v>0.039969958539315925</v>
      </c>
      <c r="M15" s="40">
        <v>0.03955261365437374</v>
      </c>
      <c r="N15" s="40">
        <v>0.038352953909379824</v>
      </c>
      <c r="O15" s="40">
        <v>0.03790655556412734</v>
      </c>
      <c r="P15" s="40">
        <v>0.036677796154376247</v>
      </c>
      <c r="Q15" s="40">
        <v>0.03447303054767808</v>
      </c>
      <c r="R15" s="40">
        <v>0.03212345181503918</v>
      </c>
      <c r="S15" s="40">
        <v>0.029924753538591607</v>
      </c>
      <c r="T15" s="40">
        <v>0.028966795596023734</v>
      </c>
      <c r="U15" s="40">
        <v>0.028399336857041494</v>
      </c>
      <c r="V15" s="40">
        <v>0.02891584037034394</v>
      </c>
      <c r="W15" s="40">
        <v>0.029776029048455402</v>
      </c>
      <c r="X15" s="36">
        <v>0.031218623160661606</v>
      </c>
      <c r="Y15" s="36">
        <v>0.03107211828272426</v>
      </c>
      <c r="Z15" s="36">
        <v>0.030982610837865025</v>
      </c>
      <c r="AA15" s="36">
        <v>0.030072552778090775</v>
      </c>
      <c r="AB15" s="36">
        <v>0.02993549122780871</v>
      </c>
      <c r="AC15" s="36">
        <v>0.026159078805677825</v>
      </c>
      <c r="AD15" s="36">
        <v>0.02585751335078227</v>
      </c>
      <c r="AE15" s="36">
        <v>0.024581516203913148</v>
      </c>
      <c r="AF15" s="36">
        <v>0.02205338786983881</v>
      </c>
      <c r="AG15" s="36">
        <v>0.022683772687991155</v>
      </c>
      <c r="AH15" s="36">
        <v>0.02065793533930669</v>
      </c>
      <c r="AI15" s="36">
        <v>0.022566014444379397</v>
      </c>
      <c r="AJ15" s="36">
        <v>0.023233397670058883</v>
      </c>
      <c r="AK15" s="36">
        <v>0.022865722674969197</v>
      </c>
      <c r="AL15" s="36">
        <v>0.022869106171455374</v>
      </c>
      <c r="AM15" s="36">
        <v>0.024121927151722365</v>
      </c>
      <c r="AN15" s="36">
        <v>0.02384040975866979</v>
      </c>
      <c r="AO15" s="36">
        <v>0.022404486656021745</v>
      </c>
      <c r="AP15" s="36">
        <v>0.022408534281114178</v>
      </c>
      <c r="AQ15" s="36">
        <v>0.02230781157391187</v>
      </c>
      <c r="AR15" s="36">
        <v>0.021910160941610194</v>
      </c>
      <c r="AS15" s="36">
        <v>0.021132390135939844</v>
      </c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>
        <f t="shared" ref="F16:G16" si="12">J16</f>
        <v>8.835136922</v>
      </c>
      <c r="G16" s="36">
        <f t="shared" si="12"/>
        <v>8.509209461</v>
      </c>
      <c r="H16" s="32">
        <f t="shared" si="11"/>
        <v>0.03830290719</v>
      </c>
      <c r="I16" s="30"/>
      <c r="J16" s="36">
        <v>8.835136921590776</v>
      </c>
      <c r="K16" s="36">
        <v>8.509209461352794</v>
      </c>
      <c r="L16" s="36">
        <v>8.38956381449594</v>
      </c>
      <c r="M16" s="36">
        <v>8.301417584919253</v>
      </c>
      <c r="N16" s="36">
        <v>8.134524057775549</v>
      </c>
      <c r="O16" s="36">
        <v>8.211714242548423</v>
      </c>
      <c r="P16" s="36">
        <v>8.687756237771696</v>
      </c>
      <c r="Q16" s="36">
        <v>8.618461937981692</v>
      </c>
      <c r="R16" s="36">
        <v>8.758876733291892</v>
      </c>
      <c r="S16" s="36">
        <v>9.056069019512941</v>
      </c>
      <c r="T16" s="36">
        <v>8.8305808151007</v>
      </c>
      <c r="U16" s="36">
        <v>8.752034933039903</v>
      </c>
      <c r="V16" s="36">
        <v>8.085767945261763</v>
      </c>
      <c r="W16" s="36">
        <v>7.754332007434753</v>
      </c>
      <c r="X16" s="31">
        <v>7.16730508812366</v>
      </c>
      <c r="Y16" s="31">
        <v>7.486904901476277</v>
      </c>
      <c r="Z16" s="31">
        <v>7.20346428053976</v>
      </c>
      <c r="AA16" s="31">
        <v>6.971278474007476</v>
      </c>
      <c r="AB16" s="31">
        <v>7.014270587689235</v>
      </c>
      <c r="AC16" s="31">
        <v>7.454812409362093</v>
      </c>
      <c r="AD16" s="31">
        <v>7.258796085157324</v>
      </c>
      <c r="AE16" s="31">
        <v>7.449885986198967</v>
      </c>
      <c r="AF16" s="31">
        <v>7.368666151202073</v>
      </c>
      <c r="AG16" s="31">
        <v>7.181987212469186</v>
      </c>
      <c r="AH16" s="31">
        <v>7.96075853638753</v>
      </c>
      <c r="AI16" s="31">
        <v>7.1239644054537195</v>
      </c>
      <c r="AJ16" s="31">
        <v>6.890482233878925</v>
      </c>
      <c r="AK16" s="31">
        <v>7.074417066305561</v>
      </c>
      <c r="AL16" s="31">
        <v>6.829283923491668</v>
      </c>
      <c r="AM16" s="31">
        <v>6.498460185748327</v>
      </c>
      <c r="AN16" s="31">
        <v>6.496087355779726</v>
      </c>
      <c r="AO16" s="31">
        <v>6.737550094197362</v>
      </c>
      <c r="AP16" s="31">
        <v>6.618038987372336</v>
      </c>
      <c r="AQ16" s="31">
        <v>6.63754277051006</v>
      </c>
      <c r="AR16" s="31">
        <v>6.426291949173242</v>
      </c>
      <c r="AS16" s="31">
        <v>6.368652663913791</v>
      </c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 ht="16.5" customHeight="1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3">J18</f>
        <v>1637411.516</v>
      </c>
      <c r="G18" s="31">
        <f t="shared" si="13"/>
        <v>1443095.391</v>
      </c>
      <c r="H18" s="32">
        <f t="shared" ref="H18:H19" si="15">IFERROR(F18/G18-1,"-")</f>
        <v>0.1346523079</v>
      </c>
      <c r="I18" s="30"/>
      <c r="J18" s="31">
        <v>1637411.51565371</v>
      </c>
      <c r="K18" s="31">
        <v>1443095.39076391</v>
      </c>
      <c r="L18" s="31">
        <v>1270448.42291964</v>
      </c>
      <c r="M18" s="31">
        <v>1224586.04822246</v>
      </c>
      <c r="N18" s="31">
        <v>1146767.06808928</v>
      </c>
      <c r="O18" s="31">
        <v>1145486.82960581</v>
      </c>
      <c r="P18" s="31">
        <v>1163599.74956648</v>
      </c>
      <c r="Q18" s="31">
        <v>1039465.50685809</v>
      </c>
      <c r="R18" s="31">
        <v>846545.048631592</v>
      </c>
      <c r="S18" s="31">
        <v>805124.368354078</v>
      </c>
      <c r="T18" s="31">
        <v>743197.53158526</v>
      </c>
      <c r="U18" s="31">
        <v>762120.725248615</v>
      </c>
      <c r="V18" s="31">
        <v>866779.997035992</v>
      </c>
      <c r="W18" s="31">
        <v>825701.878157706</v>
      </c>
      <c r="X18" s="36">
        <v>766402.218235342</v>
      </c>
      <c r="Y18" s="36">
        <v>783646.8136041</v>
      </c>
      <c r="Z18" s="36">
        <v>738587.784884003</v>
      </c>
      <c r="AA18" s="36">
        <v>721183.181330648</v>
      </c>
      <c r="AB18" s="36">
        <v>674193.005390036</v>
      </c>
      <c r="AC18" s="36">
        <v>606923.526633816</v>
      </c>
      <c r="AD18" s="36">
        <v>590461.86649225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>
        <f t="shared" ref="F19:G19" si="14">J19</f>
        <v>0.03872184115</v>
      </c>
      <c r="G19" s="40">
        <f t="shared" si="14"/>
        <v>0.03832850328</v>
      </c>
      <c r="H19" s="32">
        <f t="shared" si="15"/>
        <v>0.01026228118</v>
      </c>
      <c r="I19" s="30"/>
      <c r="J19" s="58">
        <v>0.0387218411529899</v>
      </c>
      <c r="K19" s="58">
        <v>0.0383285032753255</v>
      </c>
      <c r="L19" s="58">
        <v>0.03775392418752</v>
      </c>
      <c r="M19" s="58">
        <v>0.0375097331743602</v>
      </c>
      <c r="N19" s="58">
        <v>0.0363817675615502</v>
      </c>
      <c r="O19" s="58">
        <v>0.0360238863965739</v>
      </c>
      <c r="P19" s="58">
        <v>0.0347681725104589</v>
      </c>
      <c r="Q19" s="58">
        <v>0.0327387108948966</v>
      </c>
      <c r="R19" s="58">
        <v>0.030825317523283</v>
      </c>
      <c r="S19" s="58">
        <v>0.0288621251709673</v>
      </c>
      <c r="T19" s="58">
        <v>0.0281547114333958</v>
      </c>
      <c r="U19" s="58">
        <v>0.0276378734665088</v>
      </c>
      <c r="V19" s="58">
        <v>0.0275563723562955</v>
      </c>
      <c r="W19" s="58">
        <v>0.02899753563525</v>
      </c>
      <c r="X19" s="36">
        <v>0.0304723256184335</v>
      </c>
      <c r="Y19" s="36">
        <v>0.0306049967590529</v>
      </c>
      <c r="Z19" s="36">
        <v>0.0304719996500836</v>
      </c>
      <c r="AA19" s="36">
        <v>0.0297413377939612</v>
      </c>
      <c r="AB19" s="36">
        <v>0.0289875425553648</v>
      </c>
      <c r="AC19" s="36">
        <v>0.0255678509490772</v>
      </c>
      <c r="AD19" s="36">
        <v>0.0251210532088147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6">J21</f>
        <v>1591645.985</v>
      </c>
      <c r="G21" s="31">
        <f t="shared" si="16"/>
        <v>1407003.175</v>
      </c>
      <c r="H21" s="32">
        <f t="shared" ref="H21:H22" si="18">IFERROR(F21/G21-1,"-")</f>
        <v>0.1312312676</v>
      </c>
      <c r="I21" s="30"/>
      <c r="J21" s="31">
        <v>1591645.98506152</v>
      </c>
      <c r="K21" s="31">
        <v>1407003.17488333</v>
      </c>
      <c r="L21" s="31">
        <v>1233180.45848548</v>
      </c>
      <c r="M21" s="31">
        <v>1192168.07001786</v>
      </c>
      <c r="N21" s="31">
        <v>1117467.36362507</v>
      </c>
      <c r="O21" s="31">
        <v>1118880.40165648</v>
      </c>
      <c r="P21" s="31">
        <v>1129233.13001813</v>
      </c>
      <c r="Q21" s="31">
        <v>1014252.07514306</v>
      </c>
      <c r="R21" s="31">
        <v>832907.445291503</v>
      </c>
      <c r="S21" s="31">
        <v>789402.698934791</v>
      </c>
      <c r="T21" s="31">
        <v>717600.304411508</v>
      </c>
      <c r="U21" s="31">
        <v>733519.095064303</v>
      </c>
      <c r="V21" s="31">
        <v>839571.534855382</v>
      </c>
      <c r="W21" s="31">
        <v>792379.725734094</v>
      </c>
      <c r="X21" s="36">
        <v>671479.819457363</v>
      </c>
      <c r="Y21" s="36">
        <v>668153.231484273</v>
      </c>
      <c r="Z21" s="36">
        <v>600678.909793906</v>
      </c>
      <c r="AA21" s="36">
        <v>603126.543608224</v>
      </c>
      <c r="AB21" s="36">
        <v>588439.981339918</v>
      </c>
      <c r="AC21" s="36">
        <v>546723.965529812</v>
      </c>
      <c r="AD21" s="36">
        <v>539834.905818648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26"/>
      <c r="B22" s="27"/>
      <c r="C22" s="28" t="s">
        <v>21</v>
      </c>
      <c r="D22" s="39" t="s">
        <v>10</v>
      </c>
      <c r="E22" s="30"/>
      <c r="F22" s="40">
        <f t="shared" ref="F22:G22" si="17">J22</f>
        <v>0.03763956856</v>
      </c>
      <c r="G22" s="40">
        <f t="shared" si="17"/>
        <v>0.03736989678</v>
      </c>
      <c r="H22" s="32">
        <f t="shared" si="18"/>
        <v>0.007216283789</v>
      </c>
      <c r="I22" s="30"/>
      <c r="J22" s="58">
        <v>0.0376395685605894</v>
      </c>
      <c r="K22" s="58">
        <v>0.037369896780255</v>
      </c>
      <c r="L22" s="58">
        <v>0.0366464318419142</v>
      </c>
      <c r="M22" s="58">
        <v>0.0365167529633969</v>
      </c>
      <c r="N22" s="58">
        <v>0.0354522195590819</v>
      </c>
      <c r="O22" s="58">
        <v>0.0351871531290292</v>
      </c>
      <c r="P22" s="58">
        <v>0.0337413034710804</v>
      </c>
      <c r="Q22" s="58">
        <v>0.0319445957981084</v>
      </c>
      <c r="R22" s="58">
        <v>0.030328730302208</v>
      </c>
      <c r="S22" s="58">
        <v>0.0282985342420234</v>
      </c>
      <c r="T22" s="58">
        <v>0.0271850061882306</v>
      </c>
      <c r="U22" s="58">
        <v>0.0266006516592787</v>
      </c>
      <c r="V22" s="58">
        <v>0.0266913702592756</v>
      </c>
      <c r="W22" s="58">
        <v>0.0278273066120306</v>
      </c>
      <c r="X22" s="36">
        <v>0.0266981895639928</v>
      </c>
      <c r="Y22" s="36">
        <v>0.0260944434777702</v>
      </c>
      <c r="Z22" s="36">
        <v>0.0247822776163664</v>
      </c>
      <c r="AA22" s="36">
        <v>0.0248727240600087</v>
      </c>
      <c r="AB22" s="36">
        <v>0.0253005131527593</v>
      </c>
      <c r="AC22" s="36">
        <v>0.0230318256708288</v>
      </c>
      <c r="AD22" s="36">
        <v>0.0229671417624456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7"/>
      <c r="AZ22" s="37"/>
      <c r="BA22" s="37"/>
      <c r="BB22" s="37"/>
      <c r="BC22" s="37"/>
      <c r="BD22" s="37"/>
      <c r="BE22" s="37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19">J24</f>
        <v>4142997.41</v>
      </c>
      <c r="G24" s="31">
        <f t="shared" si="19"/>
        <v>3569320.693</v>
      </c>
      <c r="H24" s="32">
        <f t="shared" ref="H24:H26" si="21">IFERROR(F24/G24-1,"-")</f>
        <v>0.1607243414</v>
      </c>
      <c r="I24" s="30"/>
      <c r="J24" s="31">
        <v>4142997.410357159</v>
      </c>
      <c r="K24" s="31">
        <v>3569320.6928019365</v>
      </c>
      <c r="L24" s="31">
        <v>3205460.060976151</v>
      </c>
      <c r="M24" s="31">
        <v>3083666.4146489482</v>
      </c>
      <c r="N24" s="31">
        <v>2988647.4684449784</v>
      </c>
      <c r="O24" s="31">
        <v>3100920.875754021</v>
      </c>
      <c r="P24" s="31">
        <v>3217034.89721002</v>
      </c>
      <c r="Q24" s="31">
        <v>2527641.6929563284</v>
      </c>
      <c r="R24" s="31">
        <v>2156205.7656763126</v>
      </c>
      <c r="S24" s="31">
        <v>2218405.5118958773</v>
      </c>
      <c r="T24" s="31">
        <v>2127865.3025225457</v>
      </c>
      <c r="U24" s="31">
        <v>2244944.8740878385</v>
      </c>
      <c r="V24" s="31">
        <v>2101177.2785967267</v>
      </c>
      <c r="W24" s="31">
        <v>1845271.9324959442</v>
      </c>
      <c r="X24" s="31">
        <v>1622453.5896723487</v>
      </c>
      <c r="Y24" s="31">
        <v>1694335.7779580145</v>
      </c>
      <c r="Z24" s="31">
        <v>1578317.4659375462</v>
      </c>
      <c r="AA24" s="31">
        <v>1589768.7065450742</v>
      </c>
      <c r="AB24" s="31">
        <v>1361748.2087729631</v>
      </c>
      <c r="AC24" s="31">
        <v>1362248.4047545658</v>
      </c>
      <c r="AD24" s="31">
        <v>1357851.7267214975</v>
      </c>
      <c r="AE24" s="31">
        <v>1118638.9087173017</v>
      </c>
      <c r="AF24" s="31">
        <v>1100512.7440996903</v>
      </c>
      <c r="AG24" s="31">
        <v>1156865.7062228878</v>
      </c>
      <c r="AH24" s="31">
        <v>1336831.8562516738</v>
      </c>
      <c r="AI24" s="31">
        <v>1167884.563593747</v>
      </c>
      <c r="AJ24" s="31">
        <v>973213.2621764072</v>
      </c>
      <c r="AK24" s="31">
        <v>974021.2634203065</v>
      </c>
      <c r="AL24" s="36">
        <v>968667.1869442279</v>
      </c>
      <c r="AM24" s="36">
        <v>903742.828915412</v>
      </c>
      <c r="AN24" s="36">
        <v>835188.7725881212</v>
      </c>
      <c r="AO24" s="36">
        <v>816953.9194411371</v>
      </c>
      <c r="AP24" s="36">
        <v>792732.0540429489</v>
      </c>
      <c r="AQ24" s="36">
        <v>827625.4915983736</v>
      </c>
      <c r="AR24" s="36">
        <v>818489.3797855881</v>
      </c>
      <c r="AS24" s="36">
        <v>829864.05610223</v>
      </c>
      <c r="AT24" s="36">
        <v>481229.5331850389</v>
      </c>
      <c r="AU24" s="36">
        <v>466651.0533052922</v>
      </c>
      <c r="AV24" s="36">
        <v>377077.1081609117</v>
      </c>
      <c r="AW24" s="36">
        <v>405479.7537530295</v>
      </c>
      <c r="AX24" s="36">
        <v>403885.2496673175</v>
      </c>
      <c r="AY24" s="37">
        <v>394687.8980054845</v>
      </c>
      <c r="AZ24" s="37">
        <v>397036.8421745408</v>
      </c>
      <c r="BA24" s="37">
        <v>384561.2563098412</v>
      </c>
      <c r="BB24" s="37">
        <v>282519.9876862155</v>
      </c>
      <c r="BC24" s="37">
        <v>251614.8475626602</v>
      </c>
      <c r="BD24" s="37">
        <v>233830.7981515576</v>
      </c>
      <c r="BE24" s="37">
        <v>217528.4677415209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20">J25</f>
        <v>0.09797444692</v>
      </c>
      <c r="G25" s="40">
        <f t="shared" si="20"/>
        <v>0.09480088478</v>
      </c>
      <c r="H25" s="50">
        <f t="shared" si="21"/>
        <v>0.03347608142</v>
      </c>
      <c r="I25" s="49"/>
      <c r="J25" s="40">
        <v>0.09797444691663286</v>
      </c>
      <c r="K25" s="40">
        <v>0.09480088477888214</v>
      </c>
      <c r="L25" s="40">
        <v>0.09525667783513928</v>
      </c>
      <c r="M25" s="40">
        <v>0.09445437058515778</v>
      </c>
      <c r="N25" s="40">
        <v>0.09481635856665106</v>
      </c>
      <c r="O25" s="40">
        <v>0.09751942882780038</v>
      </c>
      <c r="P25" s="40">
        <v>0.09612448294186723</v>
      </c>
      <c r="Q25" s="40">
        <v>0.07960988612475575</v>
      </c>
      <c r="R25" s="40">
        <v>0.07851410563436093</v>
      </c>
      <c r="S25" s="40">
        <v>0.07952547467318052</v>
      </c>
      <c r="T25" s="40">
        <v>0.08061037747780105</v>
      </c>
      <c r="U25" s="40">
        <v>0.08141164557503289</v>
      </c>
      <c r="V25" s="40">
        <v>0.0667999073278048</v>
      </c>
      <c r="W25" s="40">
        <v>0.06480345998323853</v>
      </c>
      <c r="X25" s="40">
        <v>0.06450912185396421</v>
      </c>
      <c r="Y25" s="40">
        <v>0.06617157129072408</v>
      </c>
      <c r="Z25" s="40">
        <v>0.06511682193244385</v>
      </c>
      <c r="AA25" s="40">
        <v>0.06556149580247636</v>
      </c>
      <c r="AB25" s="40">
        <v>0.05854960498835434</v>
      </c>
      <c r="AC25" s="40">
        <v>0.05738740160817215</v>
      </c>
      <c r="AD25" s="40">
        <v>0.057769463893227326</v>
      </c>
      <c r="AE25" s="40">
        <v>0.04738007446667412</v>
      </c>
      <c r="AF25" s="40">
        <v>0.04607783772721634</v>
      </c>
      <c r="AG25" s="40">
        <v>0.046675211177055774</v>
      </c>
      <c r="AH25" s="40">
        <v>0.04478260077615067</v>
      </c>
      <c r="AI25" s="40">
        <v>0.045100509099596356</v>
      </c>
      <c r="AJ25" s="40">
        <v>0.0443039260096383</v>
      </c>
      <c r="AK25" s="40">
        <v>0.04501925556249318</v>
      </c>
      <c r="AL25" s="40">
        <v>0.04428780217228535</v>
      </c>
      <c r="AM25" s="40">
        <v>0.04437192607406979</v>
      </c>
      <c r="AN25" s="40">
        <v>0.04366963351802772</v>
      </c>
      <c r="AO25" s="40">
        <v>0.04299289360279954</v>
      </c>
      <c r="AP25" s="40">
        <v>0.042183773769483096</v>
      </c>
      <c r="AQ25" s="40">
        <v>0.042251703686595254</v>
      </c>
      <c r="AR25" s="40">
        <v>0.04187848993576114</v>
      </c>
      <c r="AS25" s="40">
        <v>0.04134127510514093</v>
      </c>
      <c r="AT25" s="40">
        <v>0.021270661552839278</v>
      </c>
      <c r="AU25" s="40">
        <v>0.021527514238621724</v>
      </c>
      <c r="AV25" s="40">
        <v>0.020692194132554253</v>
      </c>
      <c r="AW25" s="40">
        <v>0.020270104589721675</v>
      </c>
      <c r="AX25" s="40">
        <v>0.019108601240792562</v>
      </c>
      <c r="AY25" s="51">
        <v>0.019232280841243485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2">J26</f>
        <v>11105733.19</v>
      </c>
      <c r="G26" s="31">
        <f t="shared" si="22"/>
        <v>9911263.413</v>
      </c>
      <c r="H26" s="32">
        <f t="shared" si="21"/>
        <v>0.1205163987</v>
      </c>
      <c r="I26" s="30"/>
      <c r="J26" s="31">
        <v>1.1105733185767816E7</v>
      </c>
      <c r="K26" s="31">
        <v>9911263.412860846</v>
      </c>
      <c r="L26" s="31">
        <v>8676153.166391175</v>
      </c>
      <c r="M26" s="31">
        <v>7895799.23347144</v>
      </c>
      <c r="N26" s="31">
        <v>7534847.158022111</v>
      </c>
      <c r="O26" s="31">
        <v>8157113.350727716</v>
      </c>
      <c r="P26" s="31">
        <v>8920102.228448983</v>
      </c>
      <c r="Q26" s="31">
        <v>6770421.612219657</v>
      </c>
      <c r="R26" s="31">
        <v>5036590.807941822</v>
      </c>
      <c r="S26" s="31">
        <v>5409152.189275249</v>
      </c>
      <c r="T26" s="31">
        <v>4547910.295468616</v>
      </c>
      <c r="U26" s="31">
        <v>4825090.5329362685</v>
      </c>
      <c r="V26" s="31">
        <v>4956481.834397169</v>
      </c>
      <c r="W26" s="31">
        <v>4517737.127577292</v>
      </c>
      <c r="X26" s="31">
        <v>3553099.9282863983</v>
      </c>
      <c r="Y26" s="31">
        <v>4230611.149508723</v>
      </c>
      <c r="Z26" s="31">
        <v>3773081.875958372</v>
      </c>
      <c r="AA26" s="31">
        <v>3654667.8400133476</v>
      </c>
      <c r="AB26" s="31">
        <v>3492709.4128978904</v>
      </c>
      <c r="AC26" s="31">
        <v>3418882.2249585316</v>
      </c>
      <c r="AD26" s="31">
        <v>3370939.6205940912</v>
      </c>
      <c r="AE26" s="31">
        <v>3942865.479044704</v>
      </c>
      <c r="AF26" s="31">
        <v>3487647.214189296</v>
      </c>
      <c r="AG26" s="31">
        <v>3399345.131905095</v>
      </c>
      <c r="AH26" s="31">
        <v>4818620.951409909</v>
      </c>
      <c r="AI26" s="31">
        <v>4284346.407299844</v>
      </c>
      <c r="AJ26" s="31">
        <v>3394723.333416464</v>
      </c>
      <c r="AK26" s="31">
        <v>3383372.636720468</v>
      </c>
      <c r="AL26" s="36">
        <v>3202395.6419222825</v>
      </c>
      <c r="AM26" s="36">
        <v>2913303.4335184284</v>
      </c>
      <c r="AN26" s="36">
        <v>2111065.4899805547</v>
      </c>
      <c r="AO26" s="36">
        <v>1782419.5826106675</v>
      </c>
      <c r="AP26" s="36">
        <v>1439563.7542073503</v>
      </c>
      <c r="AQ26" s="36">
        <v>1533791.5173296474</v>
      </c>
      <c r="AR26" s="36">
        <v>1191393.1840229423</v>
      </c>
      <c r="AS26" s="36">
        <v>1170772.9435116919</v>
      </c>
      <c r="AT26" s="36">
        <v>1223270.1283948177</v>
      </c>
      <c r="AU26" s="36">
        <v>1247399.5740075568</v>
      </c>
      <c r="AV26" s="36">
        <v>1068119.8591506646</v>
      </c>
      <c r="AW26" s="36">
        <v>1219891.086693549</v>
      </c>
      <c r="AX26" s="36">
        <v>1407473.6755625717</v>
      </c>
      <c r="AY26" s="37">
        <v>1507080.7681909406</v>
      </c>
      <c r="AZ26" s="37">
        <v>1508968.3249539442</v>
      </c>
      <c r="BA26" s="37">
        <v>1352737.0181697884</v>
      </c>
      <c r="BB26" s="37">
        <v>1290379.2723396893</v>
      </c>
      <c r="BC26" s="37">
        <v>1533950.5458358899</v>
      </c>
      <c r="BD26" s="37">
        <v>1228384.002230496</v>
      </c>
      <c r="BE26" s="37">
        <v>1026038.6303566647</v>
      </c>
    </row>
    <row r="27">
      <c r="D27" s="3"/>
      <c r="F27" s="4"/>
      <c r="G27" s="4"/>
      <c r="H27" s="62" t="s">
        <v>54</v>
      </c>
      <c r="J27" s="76"/>
      <c r="K27" s="76"/>
      <c r="L27" s="76"/>
      <c r="M27" s="76"/>
      <c r="N27" s="76"/>
      <c r="O27" s="76"/>
      <c r="P27" s="76"/>
      <c r="Q27" s="76"/>
      <c r="R27" s="76"/>
    </row>
    <row r="28">
      <c r="C28" s="20" t="s">
        <v>55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>
        <f t="shared" ref="F29:G29" si="23">J29</f>
        <v>1</v>
      </c>
      <c r="G29" s="55">
        <f t="shared" si="23"/>
        <v>1</v>
      </c>
      <c r="H29" s="56">
        <f t="shared" ref="H29:H37" si="25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4">J30</f>
        <v>0.4054997168</v>
      </c>
      <c r="G30" s="55">
        <f t="shared" si="24"/>
        <v>0.3994315725</v>
      </c>
      <c r="H30" s="32">
        <f t="shared" si="25"/>
        <v>0.01519194947</v>
      </c>
      <c r="I30" s="30"/>
      <c r="J30" s="77">
        <v>0.40549971678744723</v>
      </c>
      <c r="K30" s="77">
        <v>0.39943157252092687</v>
      </c>
      <c r="L30" s="77">
        <v>0.4101042555020429</v>
      </c>
      <c r="M30" s="77">
        <v>0.40986105476034707</v>
      </c>
      <c r="N30" s="77">
        <v>0.4173147347672055</v>
      </c>
      <c r="O30" s="77">
        <v>0.4096056905466628</v>
      </c>
      <c r="P30" s="77">
        <v>0.4139459235580169</v>
      </c>
      <c r="Q30" s="77">
        <v>0.41837279926738874</v>
      </c>
      <c r="R30" s="77">
        <v>0.4221378030349685</v>
      </c>
      <c r="S30" s="40">
        <v>0.4242847079625302</v>
      </c>
      <c r="T30" s="40">
        <v>0.4230529816689281</v>
      </c>
      <c r="U30" s="40">
        <v>0.42671111220687197</v>
      </c>
      <c r="V30" s="40">
        <v>0.4148033001178228</v>
      </c>
      <c r="W30" s="40">
        <v>0.3994646524341752</v>
      </c>
      <c r="X30" s="31">
        <v>0.4025173348758581</v>
      </c>
      <c r="Y30" s="31">
        <v>0.3990050497911551</v>
      </c>
      <c r="Z30" s="31">
        <v>0.40442193885661315</v>
      </c>
      <c r="AA30" s="31">
        <v>0.4128147855019983</v>
      </c>
      <c r="AB30" s="31">
        <v>0.41146480167282357</v>
      </c>
      <c r="AC30" s="31">
        <v>0.3986484131337627</v>
      </c>
      <c r="AD30" s="31">
        <v>0.3970389902459693</v>
      </c>
      <c r="AE30" s="31">
        <v>0.38305003085971606</v>
      </c>
      <c r="AF30" s="31">
        <v>0.37255592466982274</v>
      </c>
      <c r="AG30" s="31">
        <v>0.3873581889122932</v>
      </c>
      <c r="AH30" s="31">
        <v>0.37253765653286125</v>
      </c>
      <c r="AI30" s="31">
        <v>0.3643272030180058</v>
      </c>
      <c r="AJ30" s="31">
        <v>0.37325336352277366</v>
      </c>
      <c r="AK30" s="31">
        <v>0.3772794849297234</v>
      </c>
      <c r="AL30" s="31">
        <v>0.3910995064608839</v>
      </c>
      <c r="AM30" s="31">
        <v>0.3935260933392066</v>
      </c>
      <c r="AN30" s="31">
        <v>0.39309085389191806</v>
      </c>
      <c r="AO30" s="31">
        <v>0.3854847218165456</v>
      </c>
      <c r="AP30" s="31">
        <v>0.3747453666671096</v>
      </c>
      <c r="AQ30" s="31">
        <v>0.37173431158388587</v>
      </c>
      <c r="AR30" s="31">
        <v>0.3671513849271457</v>
      </c>
      <c r="AS30" s="31">
        <v>0.35614011706281745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6">J31</f>
        <v>0.1076119961</v>
      </c>
      <c r="G31" s="55">
        <f t="shared" si="26"/>
        <v>0.1112533897</v>
      </c>
      <c r="H31" s="32">
        <f t="shared" si="25"/>
        <v>-0.03273063083</v>
      </c>
      <c r="I31" s="30"/>
      <c r="J31" s="40">
        <v>0.10761199606635992</v>
      </c>
      <c r="K31" s="40">
        <v>0.11125338969346277</v>
      </c>
      <c r="L31" s="40">
        <v>0.10746947601080241</v>
      </c>
      <c r="M31" s="40">
        <v>0.1074474160707944</v>
      </c>
      <c r="N31" s="40">
        <v>0.10924252331964707</v>
      </c>
      <c r="O31" s="40">
        <v>0.10636557208832209</v>
      </c>
      <c r="P31" s="40">
        <v>0.10117919521674765</v>
      </c>
      <c r="Q31" s="40">
        <v>0.10223502490054032</v>
      </c>
      <c r="R31" s="40">
        <v>0.09081805160327082</v>
      </c>
      <c r="S31" s="40">
        <v>0.08652056914180807</v>
      </c>
      <c r="T31" s="40">
        <v>0.08062220593653002</v>
      </c>
      <c r="U31" s="40">
        <v>0.09165999681210786</v>
      </c>
      <c r="V31" s="40">
        <v>0.08818538570732544</v>
      </c>
      <c r="W31" s="40">
        <v>0.08307697838978385</v>
      </c>
      <c r="X31" s="31">
        <v>0.08561739735077045</v>
      </c>
      <c r="Y31" s="31">
        <v>0.08424472581592266</v>
      </c>
      <c r="Z31" s="31">
        <v>0.07792609941744222</v>
      </c>
      <c r="AA31" s="31">
        <v>0.07947509758541405</v>
      </c>
      <c r="AB31" s="31">
        <v>0.07734895914613414</v>
      </c>
      <c r="AC31" s="31">
        <v>0.07422560110205746</v>
      </c>
      <c r="AD31" s="31">
        <v>0.06830290007091322</v>
      </c>
      <c r="AE31" s="31">
        <v>0.06240940129904116</v>
      </c>
      <c r="AF31" s="31">
        <v>0.05391595255274025</v>
      </c>
      <c r="AG31" s="31">
        <v>0.05481143728259039</v>
      </c>
      <c r="AH31" s="31">
        <v>0.056952414920092266</v>
      </c>
      <c r="AI31" s="31">
        <v>0.06019393474132632</v>
      </c>
      <c r="AJ31" s="31">
        <v>0.05544347286147558</v>
      </c>
      <c r="AK31" s="31">
        <v>0.04985616596011808</v>
      </c>
      <c r="AL31" s="31">
        <v>0.050372707787763066</v>
      </c>
      <c r="AM31" s="31">
        <v>0.05241872793656005</v>
      </c>
      <c r="AN31" s="31">
        <v>0.050487415874012335</v>
      </c>
      <c r="AO31" s="31">
        <v>0.053086914575839576</v>
      </c>
      <c r="AP31" s="31">
        <v>0.05274651362808585</v>
      </c>
      <c r="AQ31" s="31">
        <v>0.05334783977428942</v>
      </c>
      <c r="AR31" s="31">
        <v>0.04567966450526692</v>
      </c>
      <c r="AS31" s="31">
        <v>0.04476578333454388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27">J32</f>
        <v>0.1006845385</v>
      </c>
      <c r="G32" s="55">
        <f t="shared" si="27"/>
        <v>0.08844892949</v>
      </c>
      <c r="H32" s="32">
        <f t="shared" si="25"/>
        <v>0.1383352976</v>
      </c>
      <c r="I32" s="30"/>
      <c r="J32" s="77">
        <v>0.10068453846593158</v>
      </c>
      <c r="K32" s="77">
        <v>0.08844892948595985</v>
      </c>
      <c r="L32" s="77">
        <v>0.09629174684882133</v>
      </c>
      <c r="M32" s="77">
        <v>0.09349055411151529</v>
      </c>
      <c r="N32" s="77">
        <v>0.08579948523943079</v>
      </c>
      <c r="O32" s="77">
        <v>0.09594657376668718</v>
      </c>
      <c r="P32" s="77">
        <v>0.09768769500316148</v>
      </c>
      <c r="Q32" s="77">
        <v>0.1077908859149955</v>
      </c>
      <c r="R32" s="77">
        <v>0.11417682885117383</v>
      </c>
      <c r="S32" s="40">
        <v>0.11735026059127131</v>
      </c>
      <c r="T32" s="40">
        <v>0.11985893743319187</v>
      </c>
      <c r="U32" s="40">
        <v>0.12218297854403198</v>
      </c>
      <c r="V32" s="40">
        <v>0.1308060156963593</v>
      </c>
      <c r="W32" s="40">
        <v>0.13603905174920924</v>
      </c>
      <c r="X32" s="31">
        <v>0.14108876198745007</v>
      </c>
      <c r="Y32" s="31">
        <v>0.1412660422921142</v>
      </c>
      <c r="Z32" s="31">
        <v>0.14032988397116702</v>
      </c>
      <c r="AA32" s="31">
        <v>0.13210832627114266</v>
      </c>
      <c r="AB32" s="31">
        <v>0.13061648912906648</v>
      </c>
      <c r="AC32" s="31">
        <v>0.13746130497679993</v>
      </c>
      <c r="AD32" s="31">
        <v>0.1510010003128755</v>
      </c>
      <c r="AE32" s="31">
        <v>0.15363983928875016</v>
      </c>
      <c r="AF32" s="31">
        <v>0.1657648600645371</v>
      </c>
      <c r="AG32" s="31">
        <v>0.16979280567338964</v>
      </c>
      <c r="AH32" s="31">
        <v>0.18448983245254827</v>
      </c>
      <c r="AI32" s="31">
        <v>0.18631411373533388</v>
      </c>
      <c r="AJ32" s="31">
        <v>0.1865598845928814</v>
      </c>
      <c r="AK32" s="31">
        <v>0.1776792996723775</v>
      </c>
      <c r="AL32" s="31">
        <v>0.18041035954137902</v>
      </c>
      <c r="AM32" s="31">
        <v>0.18281355643137295</v>
      </c>
      <c r="AN32" s="31">
        <v>0.1829373015872914</v>
      </c>
      <c r="AO32" s="31">
        <v>0.18504169589892727</v>
      </c>
      <c r="AP32" s="31">
        <v>0.18460777852159388</v>
      </c>
      <c r="AQ32" s="31">
        <v>0.184929626882705</v>
      </c>
      <c r="AR32" s="31">
        <v>0.17921251499331065</v>
      </c>
      <c r="AS32" s="31">
        <v>0.18136882069942067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28">J33</f>
        <v>0.05437020758</v>
      </c>
      <c r="G33" s="55">
        <f t="shared" si="28"/>
        <v>0.05770728195</v>
      </c>
      <c r="H33" s="32">
        <f t="shared" si="25"/>
        <v>-0.05782761311</v>
      </c>
      <c r="I33" s="30"/>
      <c r="J33" s="40">
        <v>0.05437020757533776</v>
      </c>
      <c r="K33" s="40">
        <v>0.05770728194941748</v>
      </c>
      <c r="L33" s="40">
        <v>0.054277940456351946</v>
      </c>
      <c r="M33" s="40">
        <v>0.05624941665141468</v>
      </c>
      <c r="N33" s="40">
        <v>0.050895526489895294</v>
      </c>
      <c r="O33" s="40">
        <v>0.051410601034157545</v>
      </c>
      <c r="P33" s="40">
        <v>0.05570003508825408</v>
      </c>
      <c r="Q33" s="40">
        <v>0.05682456650368144</v>
      </c>
      <c r="R33" s="40">
        <v>0.053638651305625375</v>
      </c>
      <c r="S33" s="40">
        <v>0.05579223052854703</v>
      </c>
      <c r="T33" s="40">
        <v>0.0535273878477687</v>
      </c>
      <c r="U33" s="40">
        <v>0.053839279897268236</v>
      </c>
      <c r="V33" s="40">
        <v>0.048876833495881296</v>
      </c>
      <c r="W33" s="40">
        <v>0.05145719034164748</v>
      </c>
      <c r="X33" s="31">
        <v>0.04661533672336779</v>
      </c>
      <c r="Y33" s="31">
        <v>0.04725283219895028</v>
      </c>
      <c r="Z33" s="31">
        <v>0.04531785313931543</v>
      </c>
      <c r="AA33" s="31">
        <v>0.04510761773511018</v>
      </c>
      <c r="AB33" s="31">
        <v>0.04590831733263147</v>
      </c>
      <c r="AC33" s="31">
        <v>0.04862583861632629</v>
      </c>
      <c r="AD33" s="31">
        <v>0.04807488519403639</v>
      </c>
      <c r="AE33" s="31">
        <v>0.048344839916479816</v>
      </c>
      <c r="AF33" s="31">
        <v>0.047846324998038675</v>
      </c>
      <c r="AG33" s="31">
        <v>0.0473624478032332</v>
      </c>
      <c r="AH33" s="31">
        <v>0.045253738203734635</v>
      </c>
      <c r="AI33" s="31">
        <v>0.04593068432189666</v>
      </c>
      <c r="AJ33" s="31">
        <v>0.04692198905124857</v>
      </c>
      <c r="AK33" s="31">
        <v>0.045473519583633555</v>
      </c>
      <c r="AL33" s="31">
        <v>0.046845718304466266</v>
      </c>
      <c r="AM33" s="31">
        <v>0.049474285730320616</v>
      </c>
      <c r="AN33" s="31">
        <v>0.04870472547675151</v>
      </c>
      <c r="AO33" s="31">
        <v>0.05138279368972586</v>
      </c>
      <c r="AP33" s="31">
        <v>0.048057221950985336</v>
      </c>
      <c r="AQ33" s="31">
        <v>0.04438476787056904</v>
      </c>
      <c r="AR33" s="31">
        <v>0.046182393933926494</v>
      </c>
      <c r="AS33" s="31">
        <v>0.04735487000139982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29">J34</f>
        <v>0.09251151056</v>
      </c>
      <c r="G34" s="55">
        <f t="shared" si="29"/>
        <v>0.09641986464</v>
      </c>
      <c r="H34" s="32">
        <f t="shared" si="25"/>
        <v>-0.04053473936</v>
      </c>
      <c r="I34" s="30"/>
      <c r="J34" s="40">
        <v>0.09251151055786563</v>
      </c>
      <c r="K34" s="40">
        <v>0.09641986464064421</v>
      </c>
      <c r="L34" s="40">
        <v>0.09694066609694398</v>
      </c>
      <c r="M34" s="40">
        <v>0.10044166476181192</v>
      </c>
      <c r="N34" s="40">
        <v>0.10394996408141656</v>
      </c>
      <c r="O34" s="40">
        <v>0.10473148449029976</v>
      </c>
      <c r="P34" s="40">
        <v>0.1067114124006061</v>
      </c>
      <c r="Q34" s="40">
        <v>0.1025395770260416</v>
      </c>
      <c r="R34" s="40">
        <v>0.1040878877412106</v>
      </c>
      <c r="S34" s="40">
        <v>0.10028253103810522</v>
      </c>
      <c r="T34" s="40">
        <v>0.10759715941995403</v>
      </c>
      <c r="U34" s="40">
        <v>0.1019977929210428</v>
      </c>
      <c r="V34" s="40">
        <v>0.10708167882185719</v>
      </c>
      <c r="W34" s="40">
        <v>0.11134325598390216</v>
      </c>
      <c r="X34" s="31">
        <v>0.10963068765789062</v>
      </c>
      <c r="Y34" s="31">
        <v>0.10823066856894208</v>
      </c>
      <c r="Z34" s="31">
        <v>0.10908835803839129</v>
      </c>
      <c r="AA34" s="31">
        <v>0.11141575480900613</v>
      </c>
      <c r="AB34" s="31">
        <v>0.11426981041651209</v>
      </c>
      <c r="AC34" s="31">
        <v>0.11264730089868276</v>
      </c>
      <c r="AD34" s="31">
        <v>0.11172677735889694</v>
      </c>
      <c r="AE34" s="31">
        <v>0.11276560990488747</v>
      </c>
      <c r="AF34" s="31">
        <v>0.12016502365803813</v>
      </c>
      <c r="AG34" s="31">
        <v>0.12412651142047328</v>
      </c>
      <c r="AH34" s="31">
        <v>0.12233430008780956</v>
      </c>
      <c r="AI34" s="31">
        <v>0.12371480963925148</v>
      </c>
      <c r="AJ34" s="31">
        <v>0.12774499753904647</v>
      </c>
      <c r="AK34" s="31">
        <v>0.1245206973625991</v>
      </c>
      <c r="AL34" s="31">
        <v>0.12873333893866823</v>
      </c>
      <c r="AM34" s="31">
        <v>0.13293755187541204</v>
      </c>
      <c r="AN34" s="31">
        <v>0.1376487001116417</v>
      </c>
      <c r="AO34" s="31">
        <v>0.13581872610955054</v>
      </c>
      <c r="AP34" s="31">
        <v>0.13816171229342777</v>
      </c>
      <c r="AQ34" s="31">
        <v>0.13663400668469206</v>
      </c>
      <c r="AR34" s="31">
        <v>0.14484348290519325</v>
      </c>
      <c r="AS34" s="31">
        <v>0.14870721157122255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30">J35</f>
        <v>0.02248809179</v>
      </c>
      <c r="G35" s="55">
        <f t="shared" si="30"/>
        <v>0.02516173782</v>
      </c>
      <c r="H35" s="32">
        <f t="shared" si="25"/>
        <v>-0.1062584011</v>
      </c>
      <c r="I35" s="30"/>
      <c r="J35" s="40">
        <v>0.02248809178823063</v>
      </c>
      <c r="K35" s="40">
        <v>0.025161737816494913</v>
      </c>
      <c r="L35" s="40">
        <v>0.02597444165734053</v>
      </c>
      <c r="M35" s="40">
        <v>0.027186057740645093</v>
      </c>
      <c r="N35" s="40">
        <v>0.02536607556852814</v>
      </c>
      <c r="O35" s="40">
        <v>0.026758906605685466</v>
      </c>
      <c r="P35" s="40">
        <v>0.02781772138994396</v>
      </c>
      <c r="Q35" s="40">
        <v>0.0273245663541731</v>
      </c>
      <c r="R35" s="40">
        <v>0.027547625561772086</v>
      </c>
      <c r="S35" s="40">
        <v>0.029521487321648828</v>
      </c>
      <c r="T35" s="40">
        <v>0.029951721313086436</v>
      </c>
      <c r="U35" s="40">
        <v>0.028329806178827178</v>
      </c>
      <c r="V35" s="40">
        <v>0.031993270417908004</v>
      </c>
      <c r="W35" s="40">
        <v>0.034288558939642826</v>
      </c>
      <c r="X35" s="31">
        <v>0.03324655837767845</v>
      </c>
      <c r="Y35" s="31">
        <v>0.03622521760034223</v>
      </c>
      <c r="Z35" s="31">
        <v>0.0397163502310832</v>
      </c>
      <c r="AA35" s="31">
        <v>0.04346361967859301</v>
      </c>
      <c r="AB35" s="31">
        <v>0.04477009691030122</v>
      </c>
      <c r="AC35" s="31">
        <v>0.04683361466617804</v>
      </c>
      <c r="AD35" s="31">
        <v>0.0489610259597789</v>
      </c>
      <c r="AE35" s="31">
        <v>0.06464020867642165</v>
      </c>
      <c r="AF35" s="31">
        <v>0.06787942953197082</v>
      </c>
      <c r="AG35" s="31">
        <v>0.05268792162703986</v>
      </c>
      <c r="AH35" s="31">
        <v>0.05447866530937438</v>
      </c>
      <c r="AI35" s="31">
        <v>0.052516942148208234</v>
      </c>
      <c r="AJ35" s="31">
        <v>0.045281911495198245</v>
      </c>
      <c r="AK35" s="31">
        <v>0.05222684265876877</v>
      </c>
      <c r="AL35" s="31">
        <v>0.03200757561829663</v>
      </c>
      <c r="AM35" s="31">
        <v>0.015779345323030106</v>
      </c>
      <c r="AN35" s="31">
        <v>0.004444254781667129</v>
      </c>
      <c r="AO35" s="31">
        <v>0.004204766406788317</v>
      </c>
      <c r="AP35" s="31">
        <v>0.004239782504784946</v>
      </c>
      <c r="AQ35" s="31">
        <v>0.0044457714742469024</v>
      </c>
      <c r="AR35" s="31">
        <v>0.004673710875013605</v>
      </c>
      <c r="AS35" s="31">
        <v>0.0042737213455636535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1">J36</f>
        <v>0.1643877405</v>
      </c>
      <c r="G36" s="55">
        <f t="shared" si="31"/>
        <v>0.1654425522</v>
      </c>
      <c r="H36" s="32">
        <f t="shared" si="25"/>
        <v>-0.006375697233</v>
      </c>
      <c r="I36" s="30"/>
      <c r="J36" s="40">
        <v>0.16438774053758043</v>
      </c>
      <c r="K36" s="40">
        <v>0.16544255215966822</v>
      </c>
      <c r="L36" s="40">
        <v>0.1593644481355054</v>
      </c>
      <c r="M36" s="40">
        <v>0.13865076819034056</v>
      </c>
      <c r="N36" s="40">
        <v>0.11658511734479483</v>
      </c>
      <c r="O36" s="40">
        <v>0.10211836075393625</v>
      </c>
      <c r="P36" s="40">
        <v>0.09996514050304169</v>
      </c>
      <c r="Q36" s="40">
        <v>0.08632066485029355</v>
      </c>
      <c r="R36" s="40">
        <v>0.07893814907381766</v>
      </c>
      <c r="S36" s="40">
        <v>0.0724950658541254</v>
      </c>
      <c r="T36" s="40">
        <v>0.059821817095171946</v>
      </c>
      <c r="U36" s="40">
        <v>0.06207681765055887</v>
      </c>
      <c r="V36" s="40">
        <v>0.06382213390205102</v>
      </c>
      <c r="W36" s="40">
        <v>0.0540699628543236</v>
      </c>
      <c r="X36" s="31">
        <v>0.0517819090904951</v>
      </c>
      <c r="Y36" s="31">
        <v>0.04978226395403821</v>
      </c>
      <c r="Z36" s="31">
        <v>0.04634316395142898</v>
      </c>
      <c r="AA36" s="31">
        <v>0.04015324596436851</v>
      </c>
      <c r="AB36" s="31">
        <v>0.03637206087047001</v>
      </c>
      <c r="AC36" s="31">
        <v>0.02571425095571901</v>
      </c>
      <c r="AD36" s="31">
        <v>0.014963582808628674</v>
      </c>
      <c r="AE36" s="31">
        <v>0.009578562453520323</v>
      </c>
      <c r="AF36" s="31">
        <v>0.0035411819630448453</v>
      </c>
      <c r="AG36" s="31">
        <v>1.2742491405498785E-4</v>
      </c>
      <c r="AH36" s="31">
        <v>6.149432335489213E-5</v>
      </c>
      <c r="AI36" s="31">
        <v>1.0099555615243019E-5</v>
      </c>
      <c r="AJ36" s="31">
        <v>0.0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2">J37</f>
        <v>0.05244619822</v>
      </c>
      <c r="G37" s="55">
        <f t="shared" si="32"/>
        <v>0.05613467173</v>
      </c>
      <c r="H37" s="56">
        <f t="shared" si="25"/>
        <v>-0.0657075814</v>
      </c>
      <c r="I37" s="30"/>
      <c r="J37" s="40">
        <v>0.052446198221246736</v>
      </c>
      <c r="K37" s="40">
        <v>0.056134671733425706</v>
      </c>
      <c r="L37" s="40">
        <v>0.04957702529219151</v>
      </c>
      <c r="M37" s="40">
        <v>0.06667306771313103</v>
      </c>
      <c r="N37" s="40">
        <v>0.0908465731890819</v>
      </c>
      <c r="O37" s="40">
        <v>0.10306281071424889</v>
      </c>
      <c r="P37" s="40">
        <v>0.09699287684022807</v>
      </c>
      <c r="Q37" s="40">
        <v>0.09859191518288565</v>
      </c>
      <c r="R37" s="40">
        <v>0.10865500282816107</v>
      </c>
      <c r="S37" s="40">
        <v>0.11375314756196395</v>
      </c>
      <c r="T37" s="40">
        <v>0.125567789285369</v>
      </c>
      <c r="U37" s="40">
        <v>0.11320221578929118</v>
      </c>
      <c r="V37" s="40">
        <v>0.114431381840795</v>
      </c>
      <c r="W37" s="40">
        <v>0.1302603493073156</v>
      </c>
      <c r="X37" s="31">
        <v>0.12950201393648947</v>
      </c>
      <c r="Y37" s="31">
        <v>0.13399319977853524</v>
      </c>
      <c r="Z37" s="31">
        <v>0.13685635239455868</v>
      </c>
      <c r="AA37" s="31">
        <v>0.13546155245436722</v>
      </c>
      <c r="AB37" s="31">
        <v>0.13924946452206108</v>
      </c>
      <c r="AC37" s="31">
        <v>0.1558436756504738</v>
      </c>
      <c r="AD37" s="31">
        <v>0.15993083804890107</v>
      </c>
      <c r="AE37" s="31">
        <v>0.1655715076011834</v>
      </c>
      <c r="AF37" s="31">
        <v>0.16833130256180745</v>
      </c>
      <c r="AG37" s="31">
        <v>0.1637332623669254</v>
      </c>
      <c r="AH37" s="31">
        <v>0.1638918981702247</v>
      </c>
      <c r="AI37" s="31">
        <v>0.16699221284036245</v>
      </c>
      <c r="AJ37" s="31">
        <v>0.1647943809373761</v>
      </c>
      <c r="AK37" s="31">
        <v>0.1729639898327795</v>
      </c>
      <c r="AL37" s="31">
        <v>0.1705307933485429</v>
      </c>
      <c r="AM37" s="31">
        <v>0.17305043936409767</v>
      </c>
      <c r="AN37" s="31">
        <v>0.18268674827671785</v>
      </c>
      <c r="AO37" s="31">
        <v>0.18498038150262286</v>
      </c>
      <c r="AP37" s="31">
        <v>0.19744162443401264</v>
      </c>
      <c r="AQ37" s="31">
        <v>0.20452367572961166</v>
      </c>
      <c r="AR37" s="31">
        <v>0.21225684786014323</v>
      </c>
      <c r="AS37" s="31">
        <v>0.21738947598503194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56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3">J40</f>
        <v>1</v>
      </c>
      <c r="G40" s="55">
        <f t="shared" si="33"/>
        <v>1</v>
      </c>
      <c r="H40" s="32">
        <f t="shared" ref="H40:H48" si="35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>
        <v>1.0</v>
      </c>
      <c r="AO40" s="31">
        <v>1.0</v>
      </c>
      <c r="AP40" s="31">
        <v>1.0</v>
      </c>
      <c r="AQ40" s="31">
        <v>1.0</v>
      </c>
      <c r="AR40" s="31">
        <v>1.0</v>
      </c>
      <c r="AS40" s="31">
        <v>1.0</v>
      </c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4">J41</f>
        <v>0.595364777</v>
      </c>
      <c r="G41" s="55">
        <f t="shared" si="34"/>
        <v>0.5668989382</v>
      </c>
      <c r="H41" s="32">
        <f t="shared" si="35"/>
        <v>0.05021325111</v>
      </c>
      <c r="I41" s="30"/>
      <c r="J41" s="40">
        <v>0.5953647769856097</v>
      </c>
      <c r="K41" s="40">
        <v>0.5668989382471751</v>
      </c>
      <c r="L41" s="40">
        <v>0.5849569578993871</v>
      </c>
      <c r="M41" s="40">
        <v>0.5739615288046176</v>
      </c>
      <c r="N41" s="40">
        <v>0.5810313986059579</v>
      </c>
      <c r="O41" s="40">
        <v>0.5953434907220687</v>
      </c>
      <c r="P41" s="40">
        <v>0.6182000799255346</v>
      </c>
      <c r="Q41" s="40">
        <v>0.6168930281275953</v>
      </c>
      <c r="R41" s="40">
        <v>0.624160195421356</v>
      </c>
      <c r="S41" s="40">
        <v>0.6240035323237612</v>
      </c>
      <c r="T41" s="40">
        <v>0.6266544016443419</v>
      </c>
      <c r="U41" s="40">
        <v>0.5836128392934469</v>
      </c>
      <c r="V41" s="40">
        <v>0.5605187834833261</v>
      </c>
      <c r="W41" s="40">
        <v>0.5586935114488346</v>
      </c>
      <c r="X41" s="31">
        <v>0.5852261993598341</v>
      </c>
      <c r="Y41" s="31">
        <v>0.602951409070872</v>
      </c>
      <c r="Z41" s="31">
        <v>0.6082716494306528</v>
      </c>
      <c r="AA41" s="31">
        <v>0.6015620547948728</v>
      </c>
      <c r="AB41" s="31">
        <v>0.6085543595702504</v>
      </c>
      <c r="AC41" s="31">
        <v>0.6179238328624324</v>
      </c>
      <c r="AD41" s="31">
        <v>0.6108216420389734</v>
      </c>
      <c r="AE41" s="31">
        <v>0.6465921560902136</v>
      </c>
      <c r="AF41" s="31">
        <v>0.6472977916787765</v>
      </c>
      <c r="AG41" s="31">
        <v>0.6440302498156308</v>
      </c>
      <c r="AH41" s="31">
        <v>0.6389445222780691</v>
      </c>
      <c r="AI41" s="31">
        <v>0.6232107622254006</v>
      </c>
      <c r="AJ41" s="31">
        <v>0.6435460493911862</v>
      </c>
      <c r="AK41" s="31">
        <v>0.639445124574497</v>
      </c>
      <c r="AL41" s="31">
        <v>0.641463534421021</v>
      </c>
      <c r="AM41" s="31">
        <v>0.6564851771920024</v>
      </c>
      <c r="AN41" s="31">
        <v>0.6716196738745401</v>
      </c>
      <c r="AO41" s="31">
        <v>0.6862169777059138</v>
      </c>
      <c r="AP41" s="31">
        <v>0.6849725790887864</v>
      </c>
      <c r="AQ41" s="31">
        <v>0.6805972276012731</v>
      </c>
      <c r="AR41" s="31">
        <v>0.6655442261104866</v>
      </c>
      <c r="AS41" s="31">
        <v>0.6678437840445611</v>
      </c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6">J42</f>
        <v>0.1322270417</v>
      </c>
      <c r="G42" s="55">
        <f t="shared" si="36"/>
        <v>0.1465290555</v>
      </c>
      <c r="H42" s="32">
        <f t="shared" si="35"/>
        <v>-0.09760530959</v>
      </c>
      <c r="I42" s="30"/>
      <c r="J42" s="40">
        <v>0.13222704168585497</v>
      </c>
      <c r="K42" s="40">
        <v>0.14652905551306913</v>
      </c>
      <c r="L42" s="40">
        <v>0.13756736603283184</v>
      </c>
      <c r="M42" s="40">
        <v>0.13826914077617453</v>
      </c>
      <c r="N42" s="40">
        <v>0.13384303350272145</v>
      </c>
      <c r="O42" s="40">
        <v>0.12398564528465475</v>
      </c>
      <c r="P42" s="40">
        <v>0.11978148400701157</v>
      </c>
      <c r="Q42" s="40">
        <v>0.11653822896473587</v>
      </c>
      <c r="R42" s="40">
        <v>0.11014954633888059</v>
      </c>
      <c r="S42" s="40">
        <v>0.10744347625758444</v>
      </c>
      <c r="T42" s="40">
        <v>0.10622492458907949</v>
      </c>
      <c r="U42" s="40">
        <v>0.1279286254566248</v>
      </c>
      <c r="V42" s="40">
        <v>0.13911532825573464</v>
      </c>
      <c r="W42" s="40">
        <v>0.12024160283246989</v>
      </c>
      <c r="X42" s="31">
        <v>0.11268538871602936</v>
      </c>
      <c r="Y42" s="31">
        <v>0.11844443852919544</v>
      </c>
      <c r="Z42" s="31">
        <v>0.121198037900703</v>
      </c>
      <c r="AA42" s="31">
        <v>0.13579427173569028</v>
      </c>
      <c r="AB42" s="31">
        <v>0.12889731521289033</v>
      </c>
      <c r="AC42" s="31">
        <v>0.1172070509402504</v>
      </c>
      <c r="AD42" s="31">
        <v>0.10757070551209048</v>
      </c>
      <c r="AE42" s="31">
        <v>0.08917429602848678</v>
      </c>
      <c r="AF42" s="31">
        <v>0.08864809460341437</v>
      </c>
      <c r="AG42" s="31">
        <v>0.08815805547117223</v>
      </c>
      <c r="AH42" s="31">
        <v>0.09346093954827189</v>
      </c>
      <c r="AI42" s="31">
        <v>0.09568855901118138</v>
      </c>
      <c r="AJ42" s="31">
        <v>0.09071257864523583</v>
      </c>
      <c r="AK42" s="31">
        <v>0.08658536855410243</v>
      </c>
      <c r="AL42" s="31">
        <v>0.08899597394237872</v>
      </c>
      <c r="AM42" s="31">
        <v>0.08367317683389477</v>
      </c>
      <c r="AN42" s="31">
        <v>0.08673832907253409</v>
      </c>
      <c r="AO42" s="31">
        <v>0.0859886728225223</v>
      </c>
      <c r="AP42" s="31">
        <v>0.08936855417914792</v>
      </c>
      <c r="AQ42" s="31">
        <v>0.0910035643964618</v>
      </c>
      <c r="AR42" s="31">
        <v>0.09579941847286691</v>
      </c>
      <c r="AS42" s="31">
        <v>0.09280336064950827</v>
      </c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37">J43</f>
        <v>0.181185313</v>
      </c>
      <c r="G43" s="55">
        <f t="shared" si="37"/>
        <v>0.1861093276</v>
      </c>
      <c r="H43" s="32">
        <f t="shared" si="35"/>
        <v>-0.02645764511</v>
      </c>
      <c r="I43" s="30"/>
      <c r="J43" s="40">
        <v>0.18118531301025792</v>
      </c>
      <c r="K43" s="40">
        <v>0.18610932755099302</v>
      </c>
      <c r="L43" s="40">
        <v>0.17835996818318706</v>
      </c>
      <c r="M43" s="40">
        <v>0.19183561431265114</v>
      </c>
      <c r="N43" s="40">
        <v>0.2008505384587972</v>
      </c>
      <c r="O43" s="40">
        <v>0.19975457762281554</v>
      </c>
      <c r="P43" s="40">
        <v>0.185512560552527</v>
      </c>
      <c r="Q43" s="40">
        <v>0.1963699607916643</v>
      </c>
      <c r="R43" s="40">
        <v>0.18852129107553223</v>
      </c>
      <c r="S43" s="40">
        <v>0.18459181315294748</v>
      </c>
      <c r="T43" s="40">
        <v>0.17895889717591784</v>
      </c>
      <c r="U43" s="40">
        <v>0.20277208892293744</v>
      </c>
      <c r="V43" s="40">
        <v>0.21514245778326715</v>
      </c>
      <c r="W43" s="40">
        <v>0.2344427970579486</v>
      </c>
      <c r="X43" s="31">
        <v>0.21731039521148246</v>
      </c>
      <c r="Y43" s="31">
        <v>0.19929834524393672</v>
      </c>
      <c r="Z43" s="31">
        <v>0.1961095647152465</v>
      </c>
      <c r="AA43" s="31">
        <v>0.1880612972671255</v>
      </c>
      <c r="AB43" s="31">
        <v>0.1892061870739746</v>
      </c>
      <c r="AC43" s="31">
        <v>0.19179370757212602</v>
      </c>
      <c r="AD43" s="31">
        <v>0.2113808131629674</v>
      </c>
      <c r="AE43" s="31">
        <v>0.1949855860672082</v>
      </c>
      <c r="AF43" s="31">
        <v>0.19569245221304551</v>
      </c>
      <c r="AG43" s="31">
        <v>0.2005025871664136</v>
      </c>
      <c r="AH43" s="31">
        <v>0.20181319868923842</v>
      </c>
      <c r="AI43" s="31">
        <v>0.2128449559510253</v>
      </c>
      <c r="AJ43" s="31">
        <v>0.19943705609579598</v>
      </c>
      <c r="AK43" s="31">
        <v>0.2046408073859258</v>
      </c>
      <c r="AL43" s="31">
        <v>0.20132795286412236</v>
      </c>
      <c r="AM43" s="31">
        <v>0.19832447931437217</v>
      </c>
      <c r="AN43" s="31">
        <v>0.1870238776089662</v>
      </c>
      <c r="AO43" s="31">
        <v>0.17900193413595747</v>
      </c>
      <c r="AP43" s="31">
        <v>0.18074155495441507</v>
      </c>
      <c r="AQ43" s="31">
        <v>0.18504873279728234</v>
      </c>
      <c r="AR43" s="31">
        <v>0.1974170494022175</v>
      </c>
      <c r="AS43" s="31">
        <v>0.20183308415617068</v>
      </c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38">J44</f>
        <v>0.006978636882</v>
      </c>
      <c r="G44" s="55">
        <f t="shared" si="38"/>
        <v>0.008938157788</v>
      </c>
      <c r="H44" s="32">
        <f t="shared" si="35"/>
        <v>-0.2192309593</v>
      </c>
      <c r="I44" s="30"/>
      <c r="J44" s="40">
        <v>0.006978636881668343</v>
      </c>
      <c r="K44" s="40">
        <v>0.008938157787692901</v>
      </c>
      <c r="L44" s="40">
        <v>0.009878776787787192</v>
      </c>
      <c r="M44" s="40">
        <v>0.009426240808562083</v>
      </c>
      <c r="N44" s="40">
        <v>0.005052626572159012</v>
      </c>
      <c r="O44" s="40">
        <v>0.005940737432584382</v>
      </c>
      <c r="P44" s="40">
        <v>0.00674441674955678</v>
      </c>
      <c r="Q44" s="40">
        <v>0.006473183986865205</v>
      </c>
      <c r="R44" s="40">
        <v>0.008158431817817401</v>
      </c>
      <c r="S44" s="40">
        <v>0.009311537588517904</v>
      </c>
      <c r="T44" s="40">
        <v>0.010391401925293886</v>
      </c>
      <c r="U44" s="40">
        <v>0.010300539965209821</v>
      </c>
      <c r="V44" s="40">
        <v>0.009326345500311113</v>
      </c>
      <c r="W44" s="40">
        <v>0.012047109483637748</v>
      </c>
      <c r="X44" s="31">
        <v>0.014631865520611013</v>
      </c>
      <c r="Y44" s="31">
        <v>0.014570349299456806</v>
      </c>
      <c r="Z44" s="31">
        <v>0.015042169642687996</v>
      </c>
      <c r="AA44" s="31">
        <v>0.016130846937540685</v>
      </c>
      <c r="AB44" s="31">
        <v>0.01793645653970605</v>
      </c>
      <c r="AC44" s="31">
        <v>0.01627235757003817</v>
      </c>
      <c r="AD44" s="31">
        <v>0.015967720322497013</v>
      </c>
      <c r="AE44" s="31">
        <v>0.016042073481600812</v>
      </c>
      <c r="AF44" s="31">
        <v>0.01662182547339986</v>
      </c>
      <c r="AG44" s="31">
        <v>0.01611872722071863</v>
      </c>
      <c r="AH44" s="31">
        <v>0.01506079434839951</v>
      </c>
      <c r="AI44" s="31">
        <v>0.016574723954905814</v>
      </c>
      <c r="AJ44" s="31">
        <v>0.01620215059573016</v>
      </c>
      <c r="AK44" s="31">
        <v>0.0167308983484631</v>
      </c>
      <c r="AL44" s="31">
        <v>0.01566150719285077</v>
      </c>
      <c r="AM44" s="31">
        <v>0.013727878457670034</v>
      </c>
      <c r="AN44" s="31">
        <v>0.010671159215046003</v>
      </c>
      <c r="AO44" s="31">
        <v>0.008561546488926389</v>
      </c>
      <c r="AP44" s="31">
        <v>0.008312255611850623</v>
      </c>
      <c r="AQ44" s="31">
        <v>0.007815285533059005</v>
      </c>
      <c r="AR44" s="31">
        <v>0.0063047388639587785</v>
      </c>
      <c r="AS44" s="31">
        <v>0.0051105488678804415</v>
      </c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39">J45</f>
        <v>0.0329483647</v>
      </c>
      <c r="G45" s="55">
        <f t="shared" si="39"/>
        <v>0.03904238797</v>
      </c>
      <c r="H45" s="32">
        <f t="shared" si="35"/>
        <v>-0.1560873603</v>
      </c>
      <c r="I45" s="30"/>
      <c r="J45" s="40">
        <v>0.03294836469518887</v>
      </c>
      <c r="K45" s="40">
        <v>0.03904238797479629</v>
      </c>
      <c r="L45" s="40">
        <v>0.04075436376585789</v>
      </c>
      <c r="M45" s="40">
        <v>0.042772636340700866</v>
      </c>
      <c r="N45" s="40">
        <v>0.04340919704630071</v>
      </c>
      <c r="O45" s="40">
        <v>0.04172266176119324</v>
      </c>
      <c r="P45" s="40">
        <v>0.042319791836724505</v>
      </c>
      <c r="Q45" s="40">
        <v>0.04638141820781287</v>
      </c>
      <c r="R45" s="40">
        <v>0.05361256464461709</v>
      </c>
      <c r="S45" s="40">
        <v>0.05870131040719929</v>
      </c>
      <c r="T45" s="40">
        <v>0.06101729900209485</v>
      </c>
      <c r="U45" s="40">
        <v>0.059010115108250445</v>
      </c>
      <c r="V45" s="40">
        <v>0.06015648024989174</v>
      </c>
      <c r="W45" s="40">
        <v>0.05684227590487506</v>
      </c>
      <c r="X45" s="31">
        <v>0.054893082341311475</v>
      </c>
      <c r="Y45" s="31">
        <v>0.054005665253777</v>
      </c>
      <c r="Z45" s="31">
        <v>0.05036642866103517</v>
      </c>
      <c r="AA45" s="31">
        <v>0.050821024931542</v>
      </c>
      <c r="AB45" s="31">
        <v>0.04931170891644353</v>
      </c>
      <c r="AC45" s="31">
        <v>0.05167047740069332</v>
      </c>
      <c r="AD45" s="31">
        <v>0.0517345209220432</v>
      </c>
      <c r="AE45" s="31">
        <v>0.05085753010526093</v>
      </c>
      <c r="AF45" s="31">
        <v>0.05173983518288238</v>
      </c>
      <c r="AG45" s="31">
        <v>0.05119033569516032</v>
      </c>
      <c r="AH45" s="31">
        <v>0.05071639267648288</v>
      </c>
      <c r="AI45" s="31">
        <v>0.0506482904144815</v>
      </c>
      <c r="AJ45" s="31">
        <v>0.05010091152879649</v>
      </c>
      <c r="AK45" s="31">
        <v>0.05259657249407914</v>
      </c>
      <c r="AL45" s="31">
        <v>0.05255103157962719</v>
      </c>
      <c r="AM45" s="31">
        <v>0.04778928820206098</v>
      </c>
      <c r="AN45" s="31">
        <v>0.043946960228913694</v>
      </c>
      <c r="AO45" s="31">
        <v>0.04023086884667981</v>
      </c>
      <c r="AP45" s="31">
        <v>0.036605056165800114</v>
      </c>
      <c r="AQ45" s="31">
        <v>0.03553518967192375</v>
      </c>
      <c r="AR45" s="31">
        <v>0.0349345671504703</v>
      </c>
      <c r="AS45" s="31">
        <v>0.032409222281879944</v>
      </c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40">J46</f>
        <v>0.008084661762</v>
      </c>
      <c r="G46" s="55">
        <f t="shared" si="40"/>
        <v>0.009147748627</v>
      </c>
      <c r="H46" s="32">
        <f t="shared" si="35"/>
        <v>-0.1162129512</v>
      </c>
      <c r="I46" s="30"/>
      <c r="J46" s="40">
        <v>0.00808466176211431</v>
      </c>
      <c r="K46" s="40">
        <v>0.00914774862724636</v>
      </c>
      <c r="L46" s="40">
        <v>0.009000977692832177</v>
      </c>
      <c r="M46" s="40">
        <v>0.009518778666751515</v>
      </c>
      <c r="N46" s="40">
        <v>0.00989614937445702</v>
      </c>
      <c r="O46" s="40">
        <v>0.008382571751698112</v>
      </c>
      <c r="P46" s="40">
        <v>0.007575527848343331</v>
      </c>
      <c r="Q46" s="40">
        <v>0.007057825791319641</v>
      </c>
      <c r="R46" s="40">
        <v>0.007817219998804076</v>
      </c>
      <c r="S46" s="40">
        <v>0.008395777907641776</v>
      </c>
      <c r="T46" s="40">
        <v>0.009497084028504727</v>
      </c>
      <c r="U46" s="40">
        <v>0.008275885861775535</v>
      </c>
      <c r="V46" s="40">
        <v>0.007403131178709917</v>
      </c>
      <c r="W46" s="40">
        <v>0.008307732153660798</v>
      </c>
      <c r="X46" s="31">
        <v>0.007858287773833654</v>
      </c>
      <c r="Y46" s="31">
        <v>0.008470174989933668</v>
      </c>
      <c r="Z46" s="31">
        <v>0.00795059832177294</v>
      </c>
      <c r="AA46" s="31">
        <v>0.006945122163474088</v>
      </c>
      <c r="AB46" s="31">
        <v>0.006093193445712888</v>
      </c>
      <c r="AC46" s="31">
        <v>0.005132573654459489</v>
      </c>
      <c r="AD46" s="31">
        <v>0.002524598041428594</v>
      </c>
      <c r="AE46" s="31">
        <v>0.002696263149782274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>
        <v>0.0</v>
      </c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1">J47</f>
        <v>0.02255051606</v>
      </c>
      <c r="G47" s="55">
        <f t="shared" si="41"/>
        <v>0.02246234731</v>
      </c>
      <c r="H47" s="32">
        <f t="shared" si="35"/>
        <v>0.003925179791</v>
      </c>
      <c r="I47" s="30"/>
      <c r="J47" s="40">
        <v>0.02255051606408889</v>
      </c>
      <c r="K47" s="40">
        <v>0.02246234731235499</v>
      </c>
      <c r="L47" s="40">
        <v>0.022520265783945986</v>
      </c>
      <c r="M47" s="40">
        <v>0.02088968854136462</v>
      </c>
      <c r="N47" s="40">
        <v>0.019766698158984995</v>
      </c>
      <c r="O47" s="40">
        <v>0.01869917844752489</v>
      </c>
      <c r="P47" s="40">
        <v>0.015626212783016628</v>
      </c>
      <c r="Q47" s="40">
        <v>0.008970895535021055</v>
      </c>
      <c r="R47" s="40">
        <v>0.006626164730146182</v>
      </c>
      <c r="S47" s="40">
        <v>0.005994772979287373</v>
      </c>
      <c r="T47" s="40">
        <v>0.005226262717168951</v>
      </c>
      <c r="U47" s="40">
        <v>0.005856426087465173</v>
      </c>
      <c r="V47" s="40">
        <v>0.005836936650662717</v>
      </c>
      <c r="W47" s="40">
        <v>0.0057619517623383135</v>
      </c>
      <c r="X47" s="31">
        <v>0.004661320431875214</v>
      </c>
      <c r="Y47" s="31">
        <v>0.0020798976585268015</v>
      </c>
      <c r="Z47" s="31">
        <v>0.0010614451053206969</v>
      </c>
      <c r="AA47" s="31">
        <v>6.851936201441192E-4</v>
      </c>
      <c r="AB47" s="31">
        <v>7.792410223560571E-7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2">J48</f>
        <v>0.02066068892</v>
      </c>
      <c r="G48" s="55">
        <f t="shared" si="42"/>
        <v>0.02087203699</v>
      </c>
      <c r="H48" s="32">
        <f t="shared" si="35"/>
        <v>-0.01012589579</v>
      </c>
      <c r="I48" s="30"/>
      <c r="J48" s="40">
        <v>0.02066068891521699</v>
      </c>
      <c r="K48" s="40">
        <v>0.020872036986672223</v>
      </c>
      <c r="L48" s="40">
        <v>0.016961323854170752</v>
      </c>
      <c r="M48" s="40">
        <v>0.013326371749177682</v>
      </c>
      <c r="N48" s="40">
        <v>0.006150358280621768</v>
      </c>
      <c r="O48" s="40">
        <v>0.0061711369774603555</v>
      </c>
      <c r="P48" s="40">
        <v>0.004239926297285529</v>
      </c>
      <c r="Q48" s="40">
        <v>0.001315458594985725</v>
      </c>
      <c r="R48" s="40">
        <v>9.545859728463661E-4</v>
      </c>
      <c r="S48" s="40">
        <v>0.001557779383060623</v>
      </c>
      <c r="T48" s="40">
        <v>0.0020297289175982554</v>
      </c>
      <c r="U48" s="40">
        <v>0.0022434793042899422</v>
      </c>
      <c r="V48" s="40">
        <v>0.0025005368980967435</v>
      </c>
      <c r="W48" s="40">
        <v>0.0036630193562350224</v>
      </c>
      <c r="X48" s="31">
        <v>0.002733460645022679</v>
      </c>
      <c r="Y48" s="31">
        <v>1.7971995430163547E-4</v>
      </c>
      <c r="Z48" s="31">
        <v>1.0622258091447617E-7</v>
      </c>
      <c r="AA48" s="31">
        <v>1.8854961053656132E-7</v>
      </c>
      <c r="AB48" s="31">
        <v>-1.3530348601354275E-16</v>
      </c>
      <c r="AC48" s="31">
        <v>1.9333563609011194E-16</v>
      </c>
      <c r="AD48" s="31">
        <v>-1.6834953713361117E-17</v>
      </c>
      <c r="AE48" s="31">
        <v>-3.479049225525347E-4</v>
      </c>
      <c r="AF48" s="31">
        <v>8.484812733668672E-10</v>
      </c>
      <c r="AG48" s="31">
        <v>4.4630904436729903E-8</v>
      </c>
      <c r="AH48" s="31">
        <v>4.152459538221999E-6</v>
      </c>
      <c r="AI48" s="31">
        <v>0.0010327084430053904</v>
      </c>
      <c r="AJ48" s="31">
        <v>1.2537432554046016E-6</v>
      </c>
      <c r="AK48" s="31">
        <v>1.2286429325669167E-6</v>
      </c>
      <c r="AL48" s="31">
        <v>-4.3638695978129054E-17</v>
      </c>
      <c r="AM48" s="31">
        <v>-3.184051146236188E-16</v>
      </c>
      <c r="AN48" s="31">
        <v>-6.383095409085638E-17</v>
      </c>
      <c r="AO48" s="31">
        <v>1.7090480696938795E-16</v>
      </c>
      <c r="AP48" s="31">
        <v>-6.479283568870839E-17</v>
      </c>
      <c r="AQ48" s="31">
        <v>-4.162781042949215E-18</v>
      </c>
      <c r="AR48" s="31">
        <v>-2.5486712299402695E-17</v>
      </c>
      <c r="AS48" s="31">
        <v>-4.2880363919403903E-16</v>
      </c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>
        <f t="shared" ref="F51:G51" si="43">J51</f>
        <v>1</v>
      </c>
      <c r="G51" s="55">
        <f t="shared" si="43"/>
        <v>1</v>
      </c>
      <c r="H51" s="32">
        <f t="shared" ref="H51:H57" si="45">IFERROR(F51/G51-1,"-")</f>
        <v>0</v>
      </c>
      <c r="J51" s="58">
        <v>1.0</v>
      </c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  <c r="AD51" s="59">
        <v>1.0</v>
      </c>
    </row>
    <row r="52">
      <c r="C52" s="60" t="s">
        <v>44</v>
      </c>
      <c r="D52" s="39" t="s">
        <v>10</v>
      </c>
      <c r="F52" s="55">
        <f t="shared" ref="F52:G52" si="44">J52</f>
        <v>0.2674464006</v>
      </c>
      <c r="G52" s="55">
        <f t="shared" si="44"/>
        <v>0.2622717752</v>
      </c>
      <c r="H52" s="32">
        <f t="shared" si="45"/>
        <v>0.01973001223</v>
      </c>
      <c r="J52" s="58">
        <v>0.26744640057997</v>
      </c>
      <c r="K52" s="58">
        <v>0.262271775246952</v>
      </c>
      <c r="L52" s="58">
        <v>0.272475484519605</v>
      </c>
      <c r="M52" s="58">
        <v>0.266149925962496</v>
      </c>
      <c r="N52" s="58">
        <v>0.270892879711231</v>
      </c>
      <c r="O52" s="58">
        <v>0.269472038107894</v>
      </c>
      <c r="P52" s="58">
        <v>0.271433001733554</v>
      </c>
      <c r="Q52" s="58">
        <v>0.269096240790664</v>
      </c>
      <c r="R52" s="58">
        <v>0.256621975754627</v>
      </c>
      <c r="S52" s="58">
        <v>0.248715687448338</v>
      </c>
      <c r="T52" s="58">
        <v>0.241505288282914</v>
      </c>
      <c r="U52" s="58">
        <v>0.246348930055729</v>
      </c>
      <c r="V52" s="58">
        <v>0.250872410079214</v>
      </c>
      <c r="W52" s="58">
        <v>0.24844457697038</v>
      </c>
      <c r="X52" s="31">
        <v>0.260521839486436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  <c r="AD52" s="59">
        <v>0.0</v>
      </c>
    </row>
    <row r="53">
      <c r="C53" s="60" t="s">
        <v>45</v>
      </c>
      <c r="D53" s="39" t="s">
        <v>10</v>
      </c>
      <c r="F53" s="55">
        <f t="shared" ref="F53:G53" si="46">J53</f>
        <v>0.00459742696</v>
      </c>
      <c r="G53" s="55">
        <f t="shared" si="46"/>
        <v>0.003465157373</v>
      </c>
      <c r="H53" s="32">
        <f t="shared" si="45"/>
        <v>0.326758489</v>
      </c>
      <c r="J53" s="58">
        <v>0.00459742696048107</v>
      </c>
      <c r="K53" s="58">
        <v>0.00346515737312936</v>
      </c>
      <c r="L53" s="58">
        <v>0.00371227082406764</v>
      </c>
      <c r="M53" s="58">
        <v>0.00372271930465266</v>
      </c>
      <c r="N53" s="58">
        <v>0.00399965748101932</v>
      </c>
      <c r="O53" s="58">
        <v>0.00488808347810901</v>
      </c>
      <c r="P53" s="58">
        <v>0.00600655418769291</v>
      </c>
      <c r="Q53" s="58">
        <v>0.00580776651111119</v>
      </c>
      <c r="R53" s="58">
        <v>0.00584917240631375</v>
      </c>
      <c r="S53" s="58">
        <v>0.0069286954262004</v>
      </c>
      <c r="T53" s="58">
        <v>0.00785509428648426</v>
      </c>
      <c r="U53" s="58">
        <v>0.00681684674229129</v>
      </c>
      <c r="V53" s="58">
        <v>0.00565534491816128</v>
      </c>
      <c r="W53" s="58">
        <v>0.00567426763468233</v>
      </c>
      <c r="X53" s="31">
        <v>0.0154183459743704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  <c r="AD53" s="59">
        <v>0.0</v>
      </c>
    </row>
    <row r="54">
      <c r="C54" s="60" t="s">
        <v>46</v>
      </c>
      <c r="D54" s="39" t="s">
        <v>10</v>
      </c>
      <c r="F54" s="55">
        <f t="shared" ref="F54:G54" si="47">J54</f>
        <v>0.01405640417</v>
      </c>
      <c r="G54" s="55">
        <f t="shared" si="47"/>
        <v>0.01241311793</v>
      </c>
      <c r="H54" s="32">
        <f t="shared" si="45"/>
        <v>0.1323830363</v>
      </c>
      <c r="J54" s="58">
        <v>0.0140564041699485</v>
      </c>
      <c r="K54" s="58">
        <v>0.0124131179284128</v>
      </c>
      <c r="L54" s="58">
        <v>0.0115590043367992</v>
      </c>
      <c r="M54" s="58">
        <v>0.0107257411591177</v>
      </c>
      <c r="N54" s="58">
        <v>0.0120282821901299</v>
      </c>
      <c r="O54" s="58">
        <v>0.0147590801441534</v>
      </c>
      <c r="P54" s="58">
        <v>0.0144548845865345</v>
      </c>
      <c r="Q54" s="58">
        <v>0.015418170310851</v>
      </c>
      <c r="R54" s="58">
        <v>0.0150899481144383</v>
      </c>
      <c r="S54" s="58">
        <v>0.0147404158305937</v>
      </c>
      <c r="T54" s="58">
        <v>0.0164530043637509</v>
      </c>
      <c r="U54" s="58">
        <v>0.0172934188292653</v>
      </c>
      <c r="V54" s="58">
        <v>0.0216533608949097</v>
      </c>
      <c r="W54" s="58">
        <v>0.0208934692568745</v>
      </c>
      <c r="X54" s="31">
        <v>0.0400219679801406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  <c r="AD54" s="59">
        <v>0.0</v>
      </c>
    </row>
    <row r="55">
      <c r="C55" s="60" t="s">
        <v>47</v>
      </c>
      <c r="D55" s="39" t="s">
        <v>10</v>
      </c>
      <c r="F55" s="55">
        <f t="shared" ref="F55:G55" si="48">J55</f>
        <v>0.2215072453</v>
      </c>
      <c r="G55" s="55">
        <f t="shared" si="48"/>
        <v>0.2193218915</v>
      </c>
      <c r="H55" s="32">
        <f t="shared" si="45"/>
        <v>0.009964139315</v>
      </c>
      <c r="J55" s="58">
        <v>0.221507245339638</v>
      </c>
      <c r="K55" s="58">
        <v>0.219321891458305</v>
      </c>
      <c r="L55" s="58">
        <v>0.228702906964609</v>
      </c>
      <c r="M55" s="58">
        <v>0.223946442362366</v>
      </c>
      <c r="N55" s="58">
        <v>0.226947466022466</v>
      </c>
      <c r="O55" s="58">
        <v>0.223802253972651</v>
      </c>
      <c r="P55" s="58">
        <v>0.220337011071708</v>
      </c>
      <c r="Q55" s="58">
        <v>0.222352278429063</v>
      </c>
      <c r="R55" s="58">
        <v>0.217974432852045</v>
      </c>
      <c r="S55" s="58">
        <v>0.207854034436398</v>
      </c>
      <c r="T55" s="58">
        <v>0.200088365682047</v>
      </c>
      <c r="U55" s="58">
        <v>0.206171781484396</v>
      </c>
      <c r="V55" s="58">
        <v>0.207167222365042</v>
      </c>
      <c r="W55" s="58">
        <v>0.202338470527888</v>
      </c>
      <c r="X55" s="31">
        <v>0.177844328627637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  <c r="AD55" s="59">
        <v>0.0</v>
      </c>
    </row>
    <row r="56">
      <c r="C56" s="60" t="s">
        <v>48</v>
      </c>
      <c r="D56" s="39" t="s">
        <v>10</v>
      </c>
      <c r="F56" s="55">
        <f t="shared" ref="F56:G56" si="49">J56</f>
        <v>0.02728532411</v>
      </c>
      <c r="G56" s="55">
        <f t="shared" si="49"/>
        <v>0.02707160849</v>
      </c>
      <c r="H56" s="32">
        <f t="shared" si="45"/>
        <v>0.007894456028</v>
      </c>
      <c r="J56" s="58">
        <v>0.0272853241099028</v>
      </c>
      <c r="K56" s="58">
        <v>0.0270716084871053</v>
      </c>
      <c r="L56" s="58">
        <v>0.0285013023941294</v>
      </c>
      <c r="M56" s="58">
        <v>0.0277550231363597</v>
      </c>
      <c r="N56" s="58">
        <v>0.0279174740176161</v>
      </c>
      <c r="O56" s="58">
        <v>0.0260226205129804</v>
      </c>
      <c r="P56" s="58">
        <v>0.0306345518876184</v>
      </c>
      <c r="Q56" s="58">
        <v>0.0255180255396389</v>
      </c>
      <c r="R56" s="58">
        <v>0.01770842238183</v>
      </c>
      <c r="S56" s="58">
        <v>0.0191925417551458</v>
      </c>
      <c r="T56" s="58">
        <v>0.0171088239506316</v>
      </c>
      <c r="U56" s="58">
        <v>0.0160668829997766</v>
      </c>
      <c r="V56" s="58">
        <v>0.0163964819011012</v>
      </c>
      <c r="W56" s="58">
        <v>0.0195383695509357</v>
      </c>
      <c r="X56" s="31">
        <v>0.027237196904288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  <c r="AD56" s="59">
        <v>0.0</v>
      </c>
    </row>
    <row r="57">
      <c r="C57" s="60" t="s">
        <v>49</v>
      </c>
      <c r="D57" s="39" t="s">
        <v>10</v>
      </c>
      <c r="F57" s="55">
        <f t="shared" ref="F57:G57" si="50">J57</f>
        <v>0.7325535994</v>
      </c>
      <c r="G57" s="55">
        <f t="shared" si="50"/>
        <v>0.7377282248</v>
      </c>
      <c r="H57" s="32">
        <f t="shared" si="45"/>
        <v>-0.007014270512</v>
      </c>
      <c r="J57" s="58">
        <v>0.732553599420029</v>
      </c>
      <c r="K57" s="58">
        <v>0.737728224753047</v>
      </c>
      <c r="L57" s="58">
        <v>0.727524515480394</v>
      </c>
      <c r="M57" s="58">
        <v>0.733850074037503</v>
      </c>
      <c r="N57" s="58">
        <v>0.729107120288768</v>
      </c>
      <c r="O57" s="58">
        <v>0.730527961892105</v>
      </c>
      <c r="P57" s="58">
        <v>0.728566998266445</v>
      </c>
      <c r="Q57" s="58">
        <v>0.730903759209335</v>
      </c>
      <c r="R57" s="58">
        <v>0.743378024245372</v>
      </c>
      <c r="S57" s="58">
        <v>0.751284312551662</v>
      </c>
      <c r="T57" s="58">
        <v>0.758494711717085</v>
      </c>
      <c r="U57" s="58">
        <v>0.75365106994427</v>
      </c>
      <c r="V57" s="58">
        <v>0.749127589920785</v>
      </c>
      <c r="W57" s="58">
        <v>0.751555423029619</v>
      </c>
      <c r="X57" s="31">
        <v>0.739478160513563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  <c r="AD57" s="59">
        <v>1.0</v>
      </c>
    </row>
    <row r="58">
      <c r="D58" s="3"/>
      <c r="F58" s="4"/>
      <c r="G58" s="4"/>
      <c r="H58" s="5"/>
    </row>
    <row r="59">
      <c r="C59" s="78" t="s">
        <v>57</v>
      </c>
      <c r="D59" s="3"/>
      <c r="F59" s="4"/>
      <c r="G59" s="4"/>
      <c r="H59" s="5"/>
    </row>
    <row r="60">
      <c r="C60" s="28" t="s">
        <v>37</v>
      </c>
      <c r="D60" s="79"/>
      <c r="E60" s="80"/>
      <c r="F60" s="81">
        <f t="shared" ref="F60:G60" si="51">F3</f>
        <v>45992</v>
      </c>
      <c r="G60" s="81">
        <f t="shared" si="51"/>
        <v>45962</v>
      </c>
      <c r="H60" s="82" t="s">
        <v>58</v>
      </c>
      <c r="K60" s="83">
        <v>45474.0</v>
      </c>
      <c r="L60" s="84">
        <v>45444.0</v>
      </c>
      <c r="M60" s="82" t="s">
        <v>58</v>
      </c>
    </row>
    <row r="61">
      <c r="C61" s="38" t="s">
        <v>59</v>
      </c>
      <c r="D61" s="85"/>
      <c r="E61" s="86"/>
      <c r="F61" s="87">
        <f t="shared" ref="F61:G61" si="52">F$14*F52</f>
        <v>457703.5205</v>
      </c>
      <c r="G61" s="87">
        <f t="shared" si="52"/>
        <v>401466.8408</v>
      </c>
      <c r="H61" s="88">
        <f t="shared" ref="H61:H66" si="55">F61/G61-1</f>
        <v>0.1400780191</v>
      </c>
      <c r="K61" s="87">
        <f t="shared" ref="K61:L61" si="53">K$14*K52</f>
        <v>401466.8408</v>
      </c>
      <c r="L61" s="87">
        <f t="shared" si="53"/>
        <v>366484.8873</v>
      </c>
      <c r="M61" s="88">
        <f t="shared" ref="M61:M66" si="57">K61/L61-1</f>
        <v>0.09545264947</v>
      </c>
    </row>
    <row r="62">
      <c r="C62" s="38" t="s">
        <v>60</v>
      </c>
      <c r="D62" s="85"/>
      <c r="E62" s="86"/>
      <c r="F62" s="87">
        <f t="shared" ref="F62:G62" si="54">F$14*F53</f>
        <v>7867.963452</v>
      </c>
      <c r="G62" s="87">
        <f t="shared" si="54"/>
        <v>5304.214615</v>
      </c>
      <c r="H62" s="88">
        <f t="shared" si="55"/>
        <v>0.4833418374</v>
      </c>
      <c r="K62" s="87">
        <f t="shared" ref="K62:L62" si="56">K$14*K53</f>
        <v>5304.214615</v>
      </c>
      <c r="L62" s="87">
        <f t="shared" si="56"/>
        <v>4993.077292</v>
      </c>
      <c r="M62" s="88">
        <f t="shared" si="57"/>
        <v>0.06231374044</v>
      </c>
    </row>
    <row r="63">
      <c r="C63" s="38" t="s">
        <v>61</v>
      </c>
      <c r="D63" s="85"/>
      <c r="E63" s="86"/>
      <c r="F63" s="87">
        <f t="shared" ref="F63:G63" si="58">F$14*F54</f>
        <v>24055.90676</v>
      </c>
      <c r="G63" s="87">
        <f t="shared" si="58"/>
        <v>19001.11148</v>
      </c>
      <c r="H63" s="88">
        <f t="shared" si="55"/>
        <v>0.2660262946</v>
      </c>
      <c r="K63" s="87">
        <f t="shared" ref="K63:L63" si="59">K$14*K54</f>
        <v>19001.11148</v>
      </c>
      <c r="L63" s="87">
        <f t="shared" si="59"/>
        <v>15547.08824</v>
      </c>
      <c r="M63" s="88">
        <f t="shared" si="57"/>
        <v>0.2221652815</v>
      </c>
    </row>
    <row r="64">
      <c r="C64" s="38" t="s">
        <v>62</v>
      </c>
      <c r="D64" s="85"/>
      <c r="E64" s="86"/>
      <c r="F64" s="87">
        <f t="shared" ref="F64:G64" si="60">F$14*F55</f>
        <v>379083.9802</v>
      </c>
      <c r="G64" s="87">
        <f t="shared" si="60"/>
        <v>335722.2362</v>
      </c>
      <c r="H64" s="88">
        <f t="shared" si="55"/>
        <v>0.1291595829</v>
      </c>
      <c r="K64" s="87">
        <f t="shared" ref="K64:L64" si="61">K$14*K55</f>
        <v>335722.2362</v>
      </c>
      <c r="L64" s="87">
        <f t="shared" si="61"/>
        <v>307609.9093</v>
      </c>
      <c r="M64" s="88">
        <f t="shared" si="57"/>
        <v>0.09138953601</v>
      </c>
    </row>
    <row r="65">
      <c r="C65" s="38" t="s">
        <v>63</v>
      </c>
      <c r="D65" s="85"/>
      <c r="E65" s="86"/>
      <c r="F65" s="87">
        <f t="shared" ref="F65:G65" si="62">F$14*F56</f>
        <v>46695.67015</v>
      </c>
      <c r="G65" s="87">
        <f t="shared" si="62"/>
        <v>41439.27849</v>
      </c>
      <c r="H65" s="88">
        <f t="shared" si="55"/>
        <v>0.1268456367</v>
      </c>
      <c r="K65" s="87">
        <f t="shared" ref="K65:L65" si="63">K$14*K56</f>
        <v>41439.27849</v>
      </c>
      <c r="L65" s="87">
        <f t="shared" si="63"/>
        <v>38334.81245</v>
      </c>
      <c r="M65" s="88">
        <f t="shared" si="57"/>
        <v>0.08098294585</v>
      </c>
    </row>
    <row r="66">
      <c r="C66" s="38" t="s">
        <v>64</v>
      </c>
      <c r="D66" s="85"/>
      <c r="E66" s="86"/>
      <c r="F66" s="87">
        <f t="shared" ref="F66:G66" si="64">F$14*F57</f>
        <v>1253680.591</v>
      </c>
      <c r="G66" s="87">
        <f t="shared" si="64"/>
        <v>1129261.505</v>
      </c>
      <c r="H66" s="88">
        <f t="shared" si="55"/>
        <v>0.11017739</v>
      </c>
      <c r="K66" s="87">
        <f t="shared" ref="K66:L66" si="65">K$14*K57</f>
        <v>1129261.505</v>
      </c>
      <c r="L66" s="87">
        <f t="shared" si="65"/>
        <v>978534.7864</v>
      </c>
      <c r="M66" s="88">
        <f t="shared" si="57"/>
        <v>0.1540330717</v>
      </c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3"/>
    </customSheetView>
  </customSheetViews>
  <mergeCells count="1">
    <mergeCell ref="C1:C2"/>
  </mergeCells>
  <conditionalFormatting sqref="H6 H8:H12 H14:H16 H18:H19 H21:H22 H2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65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</row>
    <row r="3" ht="44.25" customHeight="1">
      <c r="C3" s="2" t="s">
        <v>2</v>
      </c>
      <c r="D3" s="3"/>
      <c r="E3" s="10"/>
      <c r="F3" s="11">
        <f t="shared" ref="F3:G3" si="1">J3</f>
        <v>45992</v>
      </c>
      <c r="G3" s="11">
        <f t="shared" si="1"/>
        <v>45962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2">J6</f>
        <v>8857868.889</v>
      </c>
      <c r="G6" s="31">
        <f t="shared" si="2"/>
        <v>8895518.3</v>
      </c>
      <c r="H6" s="32">
        <f>IFERROR(F6/G6-1,"-")</f>
        <v>-0.004232402187</v>
      </c>
      <c r="I6" s="30"/>
      <c r="J6" s="31">
        <v>8857868.888888888</v>
      </c>
      <c r="K6" s="31">
        <v>8895518.3</v>
      </c>
      <c r="L6" s="31">
        <v>8927513.612903226</v>
      </c>
      <c r="M6" s="31">
        <v>8815956.666666666</v>
      </c>
      <c r="N6" s="31">
        <v>8816008.903225806</v>
      </c>
      <c r="O6" s="31">
        <v>8573031.677419355</v>
      </c>
      <c r="P6" s="31">
        <v>8377695.833333333</v>
      </c>
      <c r="Q6" s="31">
        <v>8517987.258064516</v>
      </c>
      <c r="R6" s="31">
        <v>8382741.5</v>
      </c>
      <c r="S6" s="31">
        <v>8692965.41935484</v>
      </c>
      <c r="T6" s="31">
        <v>8385535.714285715</v>
      </c>
      <c r="U6" s="31">
        <v>8460238.193548387</v>
      </c>
      <c r="V6" s="31">
        <v>8565464.483870968</v>
      </c>
      <c r="W6" s="31">
        <v>8560081.933333334</v>
      </c>
      <c r="X6" s="31">
        <v>8476572.903225806</v>
      </c>
      <c r="Y6" s="31">
        <v>8447670.3</v>
      </c>
      <c r="Z6" s="31">
        <v>8412917.387096774</v>
      </c>
      <c r="AA6" s="31">
        <v>8322349.193548387</v>
      </c>
      <c r="AB6" s="31">
        <v>8281686.1</v>
      </c>
      <c r="AC6" s="31">
        <v>8248862.548387097</v>
      </c>
      <c r="AD6" s="31">
        <v>7954009.2</v>
      </c>
      <c r="AE6" s="31">
        <v>8483241.612903226</v>
      </c>
      <c r="AF6" s="31">
        <v>8270774.068965517</v>
      </c>
      <c r="AG6" s="31">
        <v>8357206.29032258</v>
      </c>
      <c r="AH6" s="31">
        <v>8250789.516129033</v>
      </c>
      <c r="AI6" s="31">
        <v>7873735.8</v>
      </c>
      <c r="AJ6" s="31">
        <v>7437594.580645162</v>
      </c>
      <c r="AK6" s="31">
        <v>7018053.033333333</v>
      </c>
      <c r="AL6" s="31">
        <v>6791681.129032258</v>
      </c>
      <c r="AM6" s="31">
        <v>6775419.161290322</v>
      </c>
      <c r="AN6" s="31">
        <v>6511534.833333333</v>
      </c>
      <c r="AO6" s="31">
        <v>6781840.0</v>
      </c>
      <c r="AP6" s="31">
        <v>6749080.333333333</v>
      </c>
      <c r="AQ6" s="31">
        <v>6980254.806451613</v>
      </c>
      <c r="AR6" s="31">
        <v>6943517.857142857</v>
      </c>
      <c r="AS6" s="31">
        <v>6972122.387096774</v>
      </c>
      <c r="AT6" s="31">
        <v>6960661.354838709</v>
      </c>
      <c r="AU6" s="31">
        <v>7030281.933333334</v>
      </c>
      <c r="AV6" s="31">
        <v>6959322.258064516</v>
      </c>
      <c r="AW6" s="31">
        <v>6787305.966666667</v>
      </c>
      <c r="AX6" s="31">
        <v>6682318.70967742</v>
      </c>
      <c r="AY6" s="33">
        <v>6674934.387096774</v>
      </c>
      <c r="AZ6" s="33">
        <v>6788118.5</v>
      </c>
      <c r="BA6" s="33">
        <v>6716491.161290322</v>
      </c>
      <c r="BB6" s="33">
        <v>7172799.0</v>
      </c>
      <c r="BC6" s="33">
        <v>6713251.29032258</v>
      </c>
      <c r="BD6" s="33">
        <v>6646764.678571428</v>
      </c>
      <c r="BE6" s="33">
        <v>6612294.516129033</v>
      </c>
    </row>
    <row r="7">
      <c r="D7" s="3"/>
      <c r="F7" s="4"/>
      <c r="G7" s="4"/>
      <c r="H7" s="5"/>
      <c r="L7" s="35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3">J8</f>
        <v>1205921.111</v>
      </c>
      <c r="G8" s="31">
        <f t="shared" si="3"/>
        <v>1186410.633</v>
      </c>
      <c r="H8" s="32">
        <f t="shared" ref="H8:H12" si="5">IFERROR(F8/G8-1,"-")</f>
        <v>0.016444962</v>
      </c>
      <c r="I8" s="30"/>
      <c r="J8" s="31">
        <v>1205921.111111111</v>
      </c>
      <c r="K8" s="31">
        <v>1186410.6333333333</v>
      </c>
      <c r="L8" s="31">
        <v>1168003.4838709678</v>
      </c>
      <c r="M8" s="31">
        <v>1108683.4333333333</v>
      </c>
      <c r="N8" s="31">
        <v>1108973.935483871</v>
      </c>
      <c r="O8" s="31">
        <v>1072677.4516129033</v>
      </c>
      <c r="P8" s="31">
        <v>1051956.6666666667</v>
      </c>
      <c r="Q8" s="31">
        <v>1026199.0322580645</v>
      </c>
      <c r="R8" s="31">
        <v>1045886.3</v>
      </c>
      <c r="S8" s="31">
        <v>1108753.2903225806</v>
      </c>
      <c r="T8" s="31">
        <v>1060808.75</v>
      </c>
      <c r="U8" s="31">
        <v>1049493.0322580645</v>
      </c>
      <c r="V8" s="31">
        <v>1077927.9032258065</v>
      </c>
      <c r="W8" s="31">
        <v>1074323.1666666667</v>
      </c>
      <c r="X8" s="31">
        <v>1060504.935483871</v>
      </c>
      <c r="Y8" s="31">
        <v>1019587.5333333333</v>
      </c>
      <c r="Z8" s="31">
        <v>989568.8709677419</v>
      </c>
      <c r="AA8" s="31">
        <v>970770.9032258064</v>
      </c>
      <c r="AB8" s="31">
        <v>1009141.4</v>
      </c>
      <c r="AC8" s="31">
        <v>1040892.0967741936</v>
      </c>
      <c r="AD8" s="31">
        <v>905690.1333333333</v>
      </c>
      <c r="AE8" s="31">
        <v>1107270.1290322582</v>
      </c>
      <c r="AF8" s="31">
        <v>984597.8965517242</v>
      </c>
      <c r="AG8" s="31">
        <v>1031072.1290322581</v>
      </c>
      <c r="AH8" s="31">
        <v>993362.1935483871</v>
      </c>
      <c r="AI8" s="31">
        <v>983074.2</v>
      </c>
      <c r="AJ8" s="36">
        <v>939443.3870967742</v>
      </c>
      <c r="AK8" s="36">
        <v>811756.1666666666</v>
      </c>
      <c r="AL8" s="36">
        <v>808589.1612903225</v>
      </c>
      <c r="AM8" s="36">
        <v>800997.4193548387</v>
      </c>
      <c r="AN8" s="36">
        <v>697609.6666666666</v>
      </c>
      <c r="AO8" s="36">
        <v>690410.4193548387</v>
      </c>
      <c r="AP8" s="36">
        <v>683680.8666666667</v>
      </c>
      <c r="AQ8" s="36">
        <v>710645.8387096775</v>
      </c>
      <c r="AR8" s="36">
        <v>689924.5357142857</v>
      </c>
      <c r="AS8" s="36">
        <v>727688.7096774194</v>
      </c>
      <c r="AT8" s="36">
        <v>703794.0967741936</v>
      </c>
      <c r="AU8" s="36">
        <v>727926.1</v>
      </c>
      <c r="AV8" s="36">
        <v>724801.1612903225</v>
      </c>
      <c r="AW8" s="36">
        <v>741095.6666666666</v>
      </c>
      <c r="AX8" s="36">
        <v>751087.0</v>
      </c>
      <c r="AY8" s="37">
        <v>750753.8064516129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4">J9</f>
        <v>0.1361412238</v>
      </c>
      <c r="G9" s="40">
        <f t="shared" si="4"/>
        <v>0.1333717264</v>
      </c>
      <c r="H9" s="32">
        <f t="shared" si="5"/>
        <v>0.02076525108</v>
      </c>
      <c r="I9" s="30"/>
      <c r="J9" s="40">
        <v>0.13614122383588126</v>
      </c>
      <c r="K9" s="40">
        <v>0.13337172644941142</v>
      </c>
      <c r="L9" s="40">
        <v>0.1308318905482053</v>
      </c>
      <c r="M9" s="40">
        <v>0.12575872083460787</v>
      </c>
      <c r="N9" s="40">
        <v>0.12579092735240932</v>
      </c>
      <c r="O9" s="40">
        <v>0.12512230118526746</v>
      </c>
      <c r="P9" s="40">
        <v>0.12556634754882384</v>
      </c>
      <c r="Q9" s="40">
        <v>0.12047435634357131</v>
      </c>
      <c r="R9" s="40">
        <v>0.12476661722182415</v>
      </c>
      <c r="S9" s="40">
        <v>0.12754603715021662</v>
      </c>
      <c r="T9" s="40">
        <v>0.12650458910964885</v>
      </c>
      <c r="U9" s="40">
        <v>0.12405005724997051</v>
      </c>
      <c r="V9" s="40">
        <v>0.12584582018354962</v>
      </c>
      <c r="W9" s="40">
        <v>0.1255038415559091</v>
      </c>
      <c r="X9" s="40">
        <v>0.12511010612322937</v>
      </c>
      <c r="Y9" s="40">
        <v>0.1206945225281026</v>
      </c>
      <c r="Z9" s="40">
        <v>0.11762493620649159</v>
      </c>
      <c r="AA9" s="40">
        <v>0.11664625944539349</v>
      </c>
      <c r="AB9" s="40">
        <v>0.1218521672778687</v>
      </c>
      <c r="AC9" s="40">
        <v>0.12618613665440692</v>
      </c>
      <c r="AD9" s="40">
        <v>0.11386586444146095</v>
      </c>
      <c r="AE9" s="40">
        <v>0.1305244126665062</v>
      </c>
      <c r="AF9" s="40">
        <v>0.1190454349667509</v>
      </c>
      <c r="AG9" s="40">
        <v>0.1233752157376098</v>
      </c>
      <c r="AH9" s="40">
        <v>0.12039601684257195</v>
      </c>
      <c r="AI9" s="40">
        <v>0.12485486241486538</v>
      </c>
      <c r="AJ9" s="36">
        <v>0.12631010966119152</v>
      </c>
      <c r="AK9" s="36">
        <v>0.11566686128062935</v>
      </c>
      <c r="AL9" s="36">
        <v>0.11905581930722031</v>
      </c>
      <c r="AM9" s="36">
        <v>0.11822108718101736</v>
      </c>
      <c r="AN9" s="36">
        <v>0.10713444441631773</v>
      </c>
      <c r="AO9" s="36">
        <v>0.10180281742931692</v>
      </c>
      <c r="AP9" s="36">
        <v>0.10129985611372928</v>
      </c>
      <c r="AQ9" s="36">
        <v>0.10180800821953542</v>
      </c>
      <c r="AR9" s="36">
        <v>0.09936239092473195</v>
      </c>
      <c r="AS9" s="36">
        <v>0.1043711899011045</v>
      </c>
      <c r="AT9" s="36">
        <v>0.1011102337689436</v>
      </c>
      <c r="AU9" s="36">
        <v>0.10354152321382956</v>
      </c>
      <c r="AV9" s="36">
        <v>0.10414823949996244</v>
      </c>
      <c r="AW9" s="36">
        <v>0.10918848661107704</v>
      </c>
      <c r="AX9" s="36">
        <v>0.11239915853044635</v>
      </c>
      <c r="AY9" s="37">
        <v>0.11247358594308957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6">J10</f>
        <v>2017939</v>
      </c>
      <c r="G10" s="31">
        <f t="shared" si="6"/>
        <v>2034803.467</v>
      </c>
      <c r="H10" s="32">
        <f t="shared" si="5"/>
        <v>-0.008288007635</v>
      </c>
      <c r="I10" s="30"/>
      <c r="J10" s="31">
        <v>2017939.000000025</v>
      </c>
      <c r="K10" s="31">
        <v>2034803.4666667038</v>
      </c>
      <c r="L10" s="31">
        <v>1971940.7419355272</v>
      </c>
      <c r="M10" s="31">
        <v>1867573.9333333955</v>
      </c>
      <c r="N10" s="31">
        <v>1824202.8709677989</v>
      </c>
      <c r="O10" s="31">
        <v>1749524.4193548823</v>
      </c>
      <c r="P10" s="31">
        <v>1731165.3333333887</v>
      </c>
      <c r="Q10" s="31">
        <v>1650263.741935461</v>
      </c>
      <c r="R10" s="31">
        <v>1690665.0999999803</v>
      </c>
      <c r="S10" s="31">
        <v>1826520.677419344</v>
      </c>
      <c r="T10" s="31">
        <v>1723603.1071428473</v>
      </c>
      <c r="U10" s="31">
        <v>1735052.4838709766</v>
      </c>
      <c r="V10" s="31">
        <v>1809254.7419354774</v>
      </c>
      <c r="W10" s="31">
        <v>1814075.466666648</v>
      </c>
      <c r="X10" s="31">
        <v>1769649.7419354555</v>
      </c>
      <c r="Y10" s="31">
        <v>1668215.6333333005</v>
      </c>
      <c r="Z10" s="31">
        <v>1587109.032258036</v>
      </c>
      <c r="AA10" s="31">
        <v>1572067.677419329</v>
      </c>
      <c r="AB10" s="31">
        <v>1666517.8999999869</v>
      </c>
      <c r="AC10" s="31">
        <v>1744147.2580645026</v>
      </c>
      <c r="AD10" s="31">
        <v>1505933.1999999934</v>
      </c>
      <c r="AE10" s="31">
        <v>1870352.2903225673</v>
      </c>
      <c r="AF10" s="31">
        <v>1649697.1724137873</v>
      </c>
      <c r="AG10" s="31">
        <v>1736388.580645155</v>
      </c>
      <c r="AH10" s="31">
        <v>1720941.999999992</v>
      </c>
      <c r="AI10" s="31">
        <v>1705693.9999999902</v>
      </c>
      <c r="AJ10" s="36">
        <v>1582811.9999999977</v>
      </c>
      <c r="AK10" s="36">
        <v>1351947.1333333333</v>
      </c>
      <c r="AL10" s="36">
        <v>1380639.8387096766</v>
      </c>
      <c r="AM10" s="36">
        <v>1377603.3870967743</v>
      </c>
      <c r="AN10" s="36">
        <v>1160169.500000001</v>
      </c>
      <c r="AO10" s="36">
        <v>1123491.580645161</v>
      </c>
      <c r="AP10" s="36">
        <v>1137419.1333333328</v>
      </c>
      <c r="AQ10" s="36">
        <v>1174781.4193548379</v>
      </c>
      <c r="AR10" s="36">
        <v>1132385.9285714284</v>
      </c>
      <c r="AS10" s="36">
        <v>1211528.3548387082</v>
      </c>
      <c r="AT10" s="36">
        <v>1190661.2580645168</v>
      </c>
      <c r="AU10" s="36">
        <v>1246123.1666666635</v>
      </c>
      <c r="AV10" s="36">
        <v>1216880.2258064533</v>
      </c>
      <c r="AW10" s="36">
        <v>1258029.3999999997</v>
      </c>
      <c r="AX10" s="36">
        <v>1269456.903225807</v>
      </c>
      <c r="AY10" s="37">
        <v>1270784.838709677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7">J11</f>
        <v>0.2278131484</v>
      </c>
      <c r="G11" s="41">
        <f t="shared" si="7"/>
        <v>0.2287447901</v>
      </c>
      <c r="H11" s="32">
        <f t="shared" si="5"/>
        <v>-0.004072843358</v>
      </c>
      <c r="I11" s="30"/>
      <c r="J11" s="41">
        <v>0.227813148434753</v>
      </c>
      <c r="K11" s="41">
        <v>0.2287447901340053</v>
      </c>
      <c r="L11" s="41">
        <v>0.22088353235165242</v>
      </c>
      <c r="M11" s="41">
        <v>0.21184018977710442</v>
      </c>
      <c r="N11" s="41">
        <v>0.20691935443716683</v>
      </c>
      <c r="O11" s="41">
        <v>0.20407301467962408</v>
      </c>
      <c r="P11" s="41">
        <v>0.20663979306164298</v>
      </c>
      <c r="Q11" s="41">
        <v>0.19373869576677896</v>
      </c>
      <c r="R11" s="41">
        <v>0.20168403141143984</v>
      </c>
      <c r="S11" s="41">
        <v>0.21011479849587414</v>
      </c>
      <c r="T11" s="41">
        <v>0.20554478161800602</v>
      </c>
      <c r="U11" s="41">
        <v>0.2050831719128303</v>
      </c>
      <c r="V11" s="41">
        <v>0.21122669358355983</v>
      </c>
      <c r="W11" s="41">
        <v>0.21192267559993308</v>
      </c>
      <c r="X11" s="41">
        <v>0.208769482919448</v>
      </c>
      <c r="Y11" s="41">
        <v>0.1974764135069642</v>
      </c>
      <c r="Z11" s="41">
        <v>0.1886514462500545</v>
      </c>
      <c r="AA11" s="41">
        <v>0.18889710595633502</v>
      </c>
      <c r="AB11" s="41">
        <v>0.2012293003957234</v>
      </c>
      <c r="AC11" s="41">
        <v>0.21144094083681106</v>
      </c>
      <c r="AD11" s="41">
        <v>0.18933008023173942</v>
      </c>
      <c r="AE11" s="41">
        <v>0.22047613113809159</v>
      </c>
      <c r="AF11" s="41">
        <v>0.19946103697886725</v>
      </c>
      <c r="AG11" s="41">
        <v>0.2077714155094922</v>
      </c>
      <c r="AH11" s="41">
        <v>0.20857906951035576</v>
      </c>
      <c r="AI11" s="41">
        <v>0.2166308399629043</v>
      </c>
      <c r="AJ11" s="31">
        <v>0.21281235254728004</v>
      </c>
      <c r="AK11" s="31">
        <v>0.19263848918098087</v>
      </c>
      <c r="AL11" s="31">
        <v>0.2032839605510754</v>
      </c>
      <c r="AM11" s="31">
        <v>0.20332371389911486</v>
      </c>
      <c r="AN11" s="31">
        <v>0.17817143418491033</v>
      </c>
      <c r="AO11" s="31">
        <v>0.16566176445406572</v>
      </c>
      <c r="AP11" s="31">
        <v>0.1685294998958129</v>
      </c>
      <c r="AQ11" s="31">
        <v>0.16830064975121356</v>
      </c>
      <c r="AR11" s="31">
        <v>0.1630853339574166</v>
      </c>
      <c r="AS11" s="31">
        <v>0.17376751117864334</v>
      </c>
      <c r="AT11" s="31">
        <v>0.17105576573364364</v>
      </c>
      <c r="AU11" s="31">
        <v>0.1772508099224731</v>
      </c>
      <c r="AV11" s="31">
        <v>0.17485613981969625</v>
      </c>
      <c r="AW11" s="31">
        <v>0.1853503298920579</v>
      </c>
      <c r="AX11" s="31">
        <v>0.18997251678333799</v>
      </c>
      <c r="AY11" s="33">
        <v>0.1903816225019701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8">J12</f>
        <v>28536645.69</v>
      </c>
      <c r="G12" s="31">
        <f t="shared" si="8"/>
        <v>30799734.45</v>
      </c>
      <c r="H12" s="32">
        <f t="shared" si="5"/>
        <v>-0.07347754144</v>
      </c>
      <c r="I12" s="30"/>
      <c r="J12" s="31">
        <v>2.8536645689770218E7</v>
      </c>
      <c r="K12" s="31">
        <v>3.079973445451631E7</v>
      </c>
      <c r="L12" s="31">
        <v>2.82675666722668E7</v>
      </c>
      <c r="M12" s="31">
        <v>2.795899111881125E7</v>
      </c>
      <c r="N12" s="31">
        <v>2.686034130781086E7</v>
      </c>
      <c r="O12" s="31">
        <v>2.6013997150674272E7</v>
      </c>
      <c r="P12" s="31">
        <v>2.5235102061718337E7</v>
      </c>
      <c r="Q12" s="31">
        <v>2.6852230824206218E7</v>
      </c>
      <c r="R12" s="31">
        <v>2.5429263588807296E7</v>
      </c>
      <c r="S12" s="31">
        <v>2.8401656475289103E7</v>
      </c>
      <c r="T12" s="31">
        <v>2.4398942578694873E7</v>
      </c>
      <c r="U12" s="31">
        <v>2.4046075440201327E7</v>
      </c>
      <c r="V12" s="31">
        <v>2.467028763727147E7</v>
      </c>
      <c r="W12" s="31">
        <v>2.527083587627506E7</v>
      </c>
      <c r="X12" s="31">
        <v>2.534280914150551E7</v>
      </c>
      <c r="Y12" s="31">
        <v>2.325087368535238E7</v>
      </c>
      <c r="Z12" s="31">
        <v>2.0935571125146758E7</v>
      </c>
      <c r="AA12" s="31">
        <v>2.029711982203203E7</v>
      </c>
      <c r="AB12" s="31">
        <v>2.09188857045849E7</v>
      </c>
      <c r="AC12" s="31">
        <v>2.17565307628781E7</v>
      </c>
      <c r="AD12" s="31">
        <v>2.009223206283023E7</v>
      </c>
      <c r="AE12" s="31">
        <v>2.2945558153379437E7</v>
      </c>
      <c r="AF12" s="31">
        <v>1.985610908888891E7</v>
      </c>
      <c r="AG12" s="31">
        <v>2.147667369915407E7</v>
      </c>
      <c r="AH12" s="31">
        <v>2.035958561718985E7</v>
      </c>
      <c r="AI12" s="31">
        <v>2.061812308466248E7</v>
      </c>
      <c r="AJ12" s="31">
        <v>1.865918394863977E7</v>
      </c>
      <c r="AK12" s="31">
        <v>1.7749048097372785E7</v>
      </c>
      <c r="AL12" s="31">
        <v>1.7406168884394955E7</v>
      </c>
      <c r="AM12" s="31">
        <v>1.7050786544617336E7</v>
      </c>
      <c r="AN12" s="31">
        <v>1.5761132067084776E7</v>
      </c>
      <c r="AO12" s="31">
        <v>1.641178470354911E7</v>
      </c>
      <c r="AP12" s="31">
        <v>1.6744078850045074E7</v>
      </c>
      <c r="AQ12" s="31">
        <v>1.7220254619054213E7</v>
      </c>
      <c r="AR12" s="31">
        <v>1.7430585188610986E7</v>
      </c>
      <c r="AS12" s="31">
        <v>1.727367540885584E7</v>
      </c>
      <c r="AT12" s="31">
        <v>1.6876815351898137E7</v>
      </c>
      <c r="AU12" s="31">
        <v>1.6591535162561039E7</v>
      </c>
      <c r="AV12" s="31">
        <v>1.6241774009185776E7</v>
      </c>
      <c r="AW12" s="31">
        <v>1.7335140886083376E7</v>
      </c>
      <c r="AX12" s="31">
        <v>1.775219131368264E7</v>
      </c>
      <c r="AY12" s="33">
        <v>1.7858824778431933E7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  <c r="J13" s="42"/>
      <c r="K13" s="42"/>
      <c r="L13" s="42"/>
      <c r="M13" s="42"/>
      <c r="N13" s="42"/>
      <c r="O13" s="42"/>
      <c r="P13" s="42"/>
      <c r="Q13" s="42"/>
      <c r="R13" s="42"/>
      <c r="S13" s="42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9">J14</f>
        <v>1314589.696</v>
      </c>
      <c r="G14" s="31">
        <f t="shared" si="9"/>
        <v>1268714.382</v>
      </c>
      <c r="H14" s="32">
        <f t="shared" ref="H14:H16" si="11">IFERROR(F14/G14-1,"-")</f>
        <v>0.03615889824</v>
      </c>
      <c r="I14" s="30"/>
      <c r="J14" s="31">
        <v>1314589.6960024333</v>
      </c>
      <c r="K14" s="31">
        <v>1268714.3817707275</v>
      </c>
      <c r="L14" s="31">
        <v>1082321.6559174703</v>
      </c>
      <c r="M14" s="31">
        <v>1008390.1699857743</v>
      </c>
      <c r="N14" s="31">
        <v>958671.4385851908</v>
      </c>
      <c r="O14" s="31">
        <v>935518.9754330304</v>
      </c>
      <c r="P14" s="31">
        <v>908549.6979652062</v>
      </c>
      <c r="Q14" s="31">
        <v>814661.9383556825</v>
      </c>
      <c r="R14" s="31">
        <v>703043.570852118</v>
      </c>
      <c r="S14" s="31">
        <v>756517.1748346051</v>
      </c>
      <c r="T14" s="31">
        <v>686644.3346515716</v>
      </c>
      <c r="U14" s="31">
        <v>693380.5986268331</v>
      </c>
      <c r="V14" s="31">
        <v>750334.8833851408</v>
      </c>
      <c r="W14" s="31">
        <v>733231.7025672133</v>
      </c>
      <c r="X14" s="36">
        <v>721757.641632753</v>
      </c>
      <c r="Y14" s="36">
        <v>676557.3209148168</v>
      </c>
      <c r="Z14" s="36">
        <v>617142.220450145</v>
      </c>
      <c r="AA14" s="36">
        <v>554000.3584466052</v>
      </c>
      <c r="AB14" s="36">
        <v>543432.0112737622</v>
      </c>
      <c r="AC14" s="36">
        <v>528356.3438730666</v>
      </c>
      <c r="AD14" s="36">
        <v>483688.44111255166</v>
      </c>
      <c r="AE14" s="36">
        <v>529887.1010642854</v>
      </c>
      <c r="AF14" s="36">
        <v>447796.578897375</v>
      </c>
      <c r="AG14" s="36">
        <v>490906.3744518585</v>
      </c>
      <c r="AH14" s="36">
        <v>498937.3584327509</v>
      </c>
      <c r="AI14" s="36">
        <v>496638.50527337607</v>
      </c>
      <c r="AJ14" s="36">
        <v>448177.8041107008</v>
      </c>
      <c r="AK14" s="36">
        <v>432457.04694700055</v>
      </c>
      <c r="AL14" s="36">
        <v>421284.62400356564</v>
      </c>
      <c r="AM14" s="36">
        <v>412713.53920597665</v>
      </c>
      <c r="AN14" s="36">
        <v>384699.7210113374</v>
      </c>
      <c r="AO14" s="36">
        <v>385240.5219877981</v>
      </c>
      <c r="AP14" s="36">
        <v>389549.3148349213</v>
      </c>
      <c r="AQ14" s="36">
        <v>411638.16321387107</v>
      </c>
      <c r="AR14" s="36">
        <v>430223.02004906425</v>
      </c>
      <c r="AS14" s="36">
        <v>425555.90968532785</v>
      </c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>
        <f t="shared" ref="F15:G15" si="10">J15</f>
        <v>0.04606672103</v>
      </c>
      <c r="G15" s="40">
        <f t="shared" si="10"/>
        <v>0.04119238053</v>
      </c>
      <c r="H15" s="32">
        <f t="shared" si="11"/>
        <v>0.1183311194</v>
      </c>
      <c r="I15" s="30"/>
      <c r="J15" s="40">
        <v>0.04606672102578916</v>
      </c>
      <c r="K15" s="40">
        <v>0.04119238052666684</v>
      </c>
      <c r="L15" s="40">
        <v>0.038288462125724176</v>
      </c>
      <c r="M15" s="40">
        <v>0.03606675812087202</v>
      </c>
      <c r="N15" s="40">
        <v>0.035690962657515216</v>
      </c>
      <c r="O15" s="40">
        <v>0.03596213876762042</v>
      </c>
      <c r="P15" s="40">
        <v>0.036003408892230186</v>
      </c>
      <c r="Q15" s="40">
        <v>0.03033870607209652</v>
      </c>
      <c r="R15" s="40">
        <v>0.02764702833005211</v>
      </c>
      <c r="S15" s="40">
        <v>0.026636375082305985</v>
      </c>
      <c r="T15" s="40">
        <v>0.028142380860847166</v>
      </c>
      <c r="U15" s="40">
        <v>0.028835499595397912</v>
      </c>
      <c r="V15" s="40">
        <v>0.030414517026203902</v>
      </c>
      <c r="W15" s="40">
        <v>0.02901493667075694</v>
      </c>
      <c r="X15" s="36">
        <v>0.02847978050115546</v>
      </c>
      <c r="Y15" s="36">
        <v>0.029098146163042266</v>
      </c>
      <c r="Z15" s="36">
        <v>0.02947816502167761</v>
      </c>
      <c r="AA15" s="36">
        <v>0.02729453061834178</v>
      </c>
      <c r="AB15" s="36">
        <v>0.025978057289861065</v>
      </c>
      <c r="AC15" s="36">
        <v>0.024284953774641783</v>
      </c>
      <c r="AD15" s="36">
        <v>0.02407340506520202</v>
      </c>
      <c r="AE15" s="36">
        <v>0.02309323214202324</v>
      </c>
      <c r="AF15" s="36">
        <v>0.022552080918408792</v>
      </c>
      <c r="AG15" s="36">
        <v>0.02285765390527838</v>
      </c>
      <c r="AH15" s="36">
        <v>0.024506262937468232</v>
      </c>
      <c r="AI15" s="36">
        <v>0.024087474074825862</v>
      </c>
      <c r="AJ15" s="36">
        <v>0.024019153535563508</v>
      </c>
      <c r="AK15" s="36">
        <v>0.02436508395123527</v>
      </c>
      <c r="AL15" s="36">
        <v>0.024203179160306627</v>
      </c>
      <c r="AM15" s="36">
        <v>0.02420495606616246</v>
      </c>
      <c r="AN15" s="36">
        <v>0.02440812749832459</v>
      </c>
      <c r="AO15" s="36">
        <v>0.023473408221379385</v>
      </c>
      <c r="AP15" s="36">
        <v>0.023264899689233884</v>
      </c>
      <c r="AQ15" s="36">
        <v>0.023904301784155584</v>
      </c>
      <c r="AR15" s="36">
        <v>0.024682075523784982</v>
      </c>
      <c r="AS15" s="36">
        <v>0.02463609507604586</v>
      </c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>
        <f t="shared" ref="F16:G16" si="12">J16</f>
        <v>6.977538325</v>
      </c>
      <c r="G16" s="36">
        <f t="shared" si="12"/>
        <v>7.630689744</v>
      </c>
      <c r="H16" s="32">
        <f t="shared" si="11"/>
        <v>-0.08559533153</v>
      </c>
      <c r="I16" s="30"/>
      <c r="J16" s="36">
        <v>6.977538325307178</v>
      </c>
      <c r="K16" s="36">
        <v>7.630689743718619</v>
      </c>
      <c r="L16" s="36">
        <v>7.166082163486441</v>
      </c>
      <c r="M16" s="36">
        <v>7.117135504862349</v>
      </c>
      <c r="N16" s="36">
        <v>7.068196136939755</v>
      </c>
      <c r="O16" s="36">
        <v>6.8090505464614735</v>
      </c>
      <c r="P16" s="36">
        <v>7.110623770532702</v>
      </c>
      <c r="Q16" s="36">
        <v>7.530949517158808</v>
      </c>
      <c r="R16" s="36">
        <v>8.148473235285175</v>
      </c>
      <c r="S16" s="36">
        <v>8.20405534382614</v>
      </c>
      <c r="T16" s="36">
        <v>7.884709078291094</v>
      </c>
      <c r="U16" s="36">
        <v>7.840534279525243</v>
      </c>
      <c r="V16" s="36">
        <v>7.19152271213205</v>
      </c>
      <c r="W16" s="36">
        <v>7.360514987597311</v>
      </c>
      <c r="X16" s="31">
        <v>7.314659643357926</v>
      </c>
      <c r="Y16" s="31">
        <v>7.338297717203231</v>
      </c>
      <c r="Z16" s="31">
        <v>7.040394615486705</v>
      </c>
      <c r="AA16" s="31">
        <v>7.166493403428486</v>
      </c>
      <c r="AB16" s="31">
        <v>7.199572885320077</v>
      </c>
      <c r="AC16" s="31">
        <v>7.6934571698305065</v>
      </c>
      <c r="AD16" s="31">
        <v>7.394830916501684</v>
      </c>
      <c r="AE16" s="31">
        <v>7.364600035085922</v>
      </c>
      <c r="AF16" s="31">
        <v>7.021141658973858</v>
      </c>
      <c r="AG16" s="31">
        <v>6.8642663306716845</v>
      </c>
      <c r="AH16" s="31">
        <v>6.735855049955228</v>
      </c>
      <c r="AI16" s="31">
        <v>6.763141459010414</v>
      </c>
      <c r="AJ16" s="31">
        <v>6.458187493397969</v>
      </c>
      <c r="AK16" s="31">
        <v>6.55275065055027</v>
      </c>
      <c r="AL16" s="31">
        <v>6.572092917539507</v>
      </c>
      <c r="AM16" s="31">
        <v>6.4771257012298555</v>
      </c>
      <c r="AN16" s="31">
        <v>6.291250880336437</v>
      </c>
      <c r="AO16" s="31">
        <v>6.253220570556556</v>
      </c>
      <c r="AP16" s="31">
        <v>6.312317266026354</v>
      </c>
      <c r="AQ16" s="31">
        <v>6.104372261813299</v>
      </c>
      <c r="AR16" s="31">
        <v>5.924515024291057</v>
      </c>
      <c r="AS16" s="31">
        <v>6.045553523663574</v>
      </c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89"/>
      <c r="L17" s="43"/>
      <c r="M17" s="89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3">J18</f>
        <v>1252499.552</v>
      </c>
      <c r="G18" s="31">
        <f t="shared" si="13"/>
        <v>1198486.88</v>
      </c>
      <c r="H18" s="32">
        <f t="shared" ref="H18:H19" si="15">IFERROR(F18/G18-1,"-")</f>
        <v>0.04506738637</v>
      </c>
      <c r="I18" s="30"/>
      <c r="J18" s="31">
        <v>1252499.55166007</v>
      </c>
      <c r="K18" s="31">
        <v>1198486.88036532</v>
      </c>
      <c r="L18" s="31">
        <v>1021885.48849858</v>
      </c>
      <c r="M18" s="31">
        <v>954168.971873477</v>
      </c>
      <c r="N18" s="31">
        <v>917606.978247374</v>
      </c>
      <c r="O18" s="31">
        <v>897681.146863658</v>
      </c>
      <c r="P18" s="31">
        <v>859766.406365733</v>
      </c>
      <c r="Q18" s="31">
        <v>771895.358335811</v>
      </c>
      <c r="R18" s="31">
        <v>669788.690753796</v>
      </c>
      <c r="S18" s="31">
        <v>722938.099023037</v>
      </c>
      <c r="T18" s="31">
        <v>658053.622413883</v>
      </c>
      <c r="U18" s="31">
        <v>638974.506774156</v>
      </c>
      <c r="V18" s="31">
        <v>670405.571589864</v>
      </c>
      <c r="W18" s="31">
        <v>659772.247166465</v>
      </c>
      <c r="X18" s="36">
        <v>650623.523012525</v>
      </c>
      <c r="Y18" s="36">
        <v>612866.747903597</v>
      </c>
      <c r="Z18" s="36">
        <v>557077.603663896</v>
      </c>
      <c r="AA18" s="36">
        <v>508448.751150247</v>
      </c>
      <c r="AB18" s="36">
        <v>505123.91293482</v>
      </c>
      <c r="AC18" s="36">
        <v>480857.804677038</v>
      </c>
      <c r="AD18" s="36">
        <v>421858.829260733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>
        <f t="shared" ref="F19:G19" si="14">J19</f>
        <v>0.04389091715</v>
      </c>
      <c r="G19" s="40">
        <f t="shared" si="14"/>
        <v>0.03891224719</v>
      </c>
      <c r="H19" s="32">
        <f t="shared" si="15"/>
        <v>0.1279460921</v>
      </c>
      <c r="I19" s="30"/>
      <c r="J19" s="58">
        <v>0.0438909171482993</v>
      </c>
      <c r="K19" s="58">
        <v>0.0389122471862604</v>
      </c>
      <c r="L19" s="58">
        <v>0.0361504582388108</v>
      </c>
      <c r="M19" s="58">
        <v>0.0341274464382048</v>
      </c>
      <c r="N19" s="58">
        <v>0.0341621488622163</v>
      </c>
      <c r="O19" s="58">
        <v>0.0345076207114288</v>
      </c>
      <c r="P19" s="58">
        <v>0.0340702567504174</v>
      </c>
      <c r="Q19" s="58">
        <v>0.0287460421217584</v>
      </c>
      <c r="R19" s="58">
        <v>0.0263392877428273</v>
      </c>
      <c r="S19" s="58">
        <v>0.0254540822170717</v>
      </c>
      <c r="T19" s="58">
        <v>0.0269705795770221</v>
      </c>
      <c r="U19" s="58">
        <v>0.0265729228190763</v>
      </c>
      <c r="V19" s="58">
        <v>0.0271746151259714</v>
      </c>
      <c r="W19" s="58">
        <v>0.0261080500224322</v>
      </c>
      <c r="X19" s="36">
        <v>0.0256729046641857</v>
      </c>
      <c r="Y19" s="36">
        <v>0.026358869614852</v>
      </c>
      <c r="Z19" s="36">
        <v>0.0266091428953071</v>
      </c>
      <c r="AA19" s="36">
        <v>0.0250502906623401</v>
      </c>
      <c r="AB19" s="36">
        <v>0.024146788699367</v>
      </c>
      <c r="AC19" s="36">
        <v>0.0221017684261269</v>
      </c>
      <c r="AD19" s="36">
        <v>0.0209961157098695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6">J21</f>
        <v>1169716.457</v>
      </c>
      <c r="G21" s="31">
        <f t="shared" si="16"/>
        <v>1134047.198</v>
      </c>
      <c r="H21" s="32">
        <f t="shared" ref="H21:H22" si="18">IFERROR(F21/G21-1,"-")</f>
        <v>0.03145306395</v>
      </c>
      <c r="I21" s="30"/>
      <c r="J21" s="31">
        <v>1169716.45657933</v>
      </c>
      <c r="K21" s="31">
        <v>1134047.19754995</v>
      </c>
      <c r="L21" s="31">
        <v>961428.314309161</v>
      </c>
      <c r="M21" s="31">
        <v>906701.115571339</v>
      </c>
      <c r="N21" s="31">
        <v>874445.587178573</v>
      </c>
      <c r="O21" s="31">
        <v>852274.490849397</v>
      </c>
      <c r="P21" s="31">
        <v>813696.09440544</v>
      </c>
      <c r="Q21" s="31">
        <v>733933.258863419</v>
      </c>
      <c r="R21" s="31">
        <v>643055.844555529</v>
      </c>
      <c r="S21" s="31">
        <v>686509.83634159</v>
      </c>
      <c r="T21" s="31">
        <v>620061.745148923</v>
      </c>
      <c r="U21" s="31">
        <v>598320.900585359</v>
      </c>
      <c r="V21" s="31">
        <v>641439.622010281</v>
      </c>
      <c r="W21" s="31">
        <v>623187.105492566</v>
      </c>
      <c r="X21" s="36">
        <v>580267.578136529</v>
      </c>
      <c r="Y21" s="36">
        <v>534355.038269669</v>
      </c>
      <c r="Z21" s="36">
        <v>456758.813757513</v>
      </c>
      <c r="AA21" s="36">
        <v>432217.897323088</v>
      </c>
      <c r="AB21" s="36">
        <v>438204.402209665</v>
      </c>
      <c r="AC21" s="36">
        <v>430651.906489292</v>
      </c>
      <c r="AD21" s="36">
        <v>387338.671453809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26"/>
      <c r="B22" s="27"/>
      <c r="C22" s="28" t="s">
        <v>21</v>
      </c>
      <c r="D22" s="39" t="s">
        <v>10</v>
      </c>
      <c r="E22" s="30"/>
      <c r="F22" s="40">
        <f t="shared" ref="F22:G22" si="17">J22</f>
        <v>0.04098997721</v>
      </c>
      <c r="G22" s="40">
        <f t="shared" si="17"/>
        <v>0.03682003165</v>
      </c>
      <c r="H22" s="32">
        <f t="shared" si="18"/>
        <v>0.1132520906</v>
      </c>
      <c r="I22" s="30"/>
      <c r="J22" s="58">
        <v>0.0409899772137077</v>
      </c>
      <c r="K22" s="58">
        <v>0.0368200316539957</v>
      </c>
      <c r="L22" s="58">
        <v>0.0340117112115071</v>
      </c>
      <c r="M22" s="58">
        <v>0.0324296793013141</v>
      </c>
      <c r="N22" s="58">
        <v>0.0325552671560539</v>
      </c>
      <c r="O22" s="58">
        <v>0.0327621505419941</v>
      </c>
      <c r="P22" s="58">
        <v>0.0322446127784764</v>
      </c>
      <c r="Q22" s="58">
        <v>0.0273323011286573</v>
      </c>
      <c r="R22" s="58">
        <v>0.0252880246535558</v>
      </c>
      <c r="S22" s="58">
        <v>0.0241714717216895</v>
      </c>
      <c r="T22" s="58">
        <v>0.0254134679463675</v>
      </c>
      <c r="U22" s="58">
        <v>0.0248822682966825</v>
      </c>
      <c r="V22" s="58">
        <v>0.0260004922294138</v>
      </c>
      <c r="W22" s="58">
        <v>0.0246603281562851</v>
      </c>
      <c r="X22" s="36">
        <v>0.0228967347264668</v>
      </c>
      <c r="Y22" s="36">
        <v>0.02298214877862</v>
      </c>
      <c r="Z22" s="36">
        <v>0.0218173562606504</v>
      </c>
      <c r="AA22" s="36">
        <v>0.0212945433200786</v>
      </c>
      <c r="AB22" s="36">
        <v>0.0209477889213583</v>
      </c>
      <c r="AC22" s="36">
        <v>0.0197941441667753</v>
      </c>
      <c r="AD22" s="36">
        <v>0.019278030944624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7"/>
      <c r="AZ22" s="37"/>
      <c r="BA22" s="37"/>
      <c r="BB22" s="37"/>
      <c r="BC22" s="37"/>
      <c r="BD22" s="37"/>
      <c r="BE22" s="37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19">J24</f>
        <v>2753899.309</v>
      </c>
      <c r="G24" s="31">
        <f t="shared" si="19"/>
        <v>2936936.156</v>
      </c>
      <c r="H24" s="32">
        <f t="shared" ref="H24:H26" si="21">IFERROR(F24/G24-1,"-")</f>
        <v>-0.0623223785</v>
      </c>
      <c r="I24" s="30"/>
      <c r="J24" s="31">
        <v>2753899.3092716965</v>
      </c>
      <c r="K24" s="31">
        <v>2936936.1560102003</v>
      </c>
      <c r="L24" s="31">
        <v>2708038.3769746814</v>
      </c>
      <c r="M24" s="31">
        <v>2577005.4971630475</v>
      </c>
      <c r="N24" s="31">
        <v>2530563.5668042568</v>
      </c>
      <c r="O24" s="31">
        <v>2350657.1425948446</v>
      </c>
      <c r="P24" s="31">
        <v>2182477.2061279374</v>
      </c>
      <c r="Q24" s="31">
        <v>2154671.767483009</v>
      </c>
      <c r="R24" s="31">
        <v>1955512.570031322</v>
      </c>
      <c r="S24" s="31">
        <v>2255059.7136273975</v>
      </c>
      <c r="T24" s="31">
        <v>1870528.4120262023</v>
      </c>
      <c r="U24" s="31">
        <v>1819846.4876325612</v>
      </c>
      <c r="V24" s="31">
        <v>1871993.617100271</v>
      </c>
      <c r="W24" s="31">
        <v>1936108.4913976637</v>
      </c>
      <c r="X24" s="31">
        <v>1938369.142135851</v>
      </c>
      <c r="Y24" s="31">
        <v>1831216.7103687036</v>
      </c>
      <c r="Z24" s="31">
        <v>1708179.521975865</v>
      </c>
      <c r="AA24" s="31">
        <v>1339097.4605151862</v>
      </c>
      <c r="AB24" s="31">
        <v>1387056.2190843318</v>
      </c>
      <c r="AC24" s="31">
        <v>1435667.0931876346</v>
      </c>
      <c r="AD24" s="31">
        <v>1311338.3298778527</v>
      </c>
      <c r="AE24" s="31">
        <v>1195743.3804768056</v>
      </c>
      <c r="AF24" s="31">
        <v>805737.4890341191</v>
      </c>
      <c r="AG24" s="31">
        <v>876773.8093125094</v>
      </c>
      <c r="AH24" s="31">
        <v>845901.6401936638</v>
      </c>
      <c r="AI24" s="31">
        <v>865558.6745729229</v>
      </c>
      <c r="AJ24" s="31">
        <v>757267.5738214804</v>
      </c>
      <c r="AK24" s="31">
        <v>705919.3710615617</v>
      </c>
      <c r="AL24" s="36">
        <v>692753.6637250568</v>
      </c>
      <c r="AM24" s="36">
        <v>673362.2189841036</v>
      </c>
      <c r="AN24" s="36">
        <v>611670.6903503466</v>
      </c>
      <c r="AO24" s="36">
        <v>610759.6623233435</v>
      </c>
      <c r="AP24" s="36">
        <v>612406.5971710413</v>
      </c>
      <c r="AQ24" s="36">
        <v>595089.6742506113</v>
      </c>
      <c r="AR24" s="36">
        <v>598208.9818342611</v>
      </c>
      <c r="AS24" s="36">
        <v>540808.596350611</v>
      </c>
      <c r="AT24" s="36">
        <v>415530.7270054375</v>
      </c>
      <c r="AU24" s="36">
        <v>407112.8399737798</v>
      </c>
      <c r="AV24" s="36">
        <v>378270.9504209193</v>
      </c>
      <c r="AW24" s="36">
        <v>398253.5760196362</v>
      </c>
      <c r="AX24" s="36">
        <v>389112.9801110916</v>
      </c>
      <c r="AY24" s="37">
        <v>377774.1276550926</v>
      </c>
      <c r="AZ24" s="37">
        <v>392898.6694004338</v>
      </c>
      <c r="BA24" s="37">
        <v>407141.3451431002</v>
      </c>
      <c r="BB24" s="37">
        <v>478511.9180192211</v>
      </c>
      <c r="BC24" s="37">
        <v>412813.7355938004</v>
      </c>
      <c r="BD24" s="37">
        <v>398312.7022751838</v>
      </c>
      <c r="BE24" s="37">
        <v>382210.2338431511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20">J25</f>
        <v>0.09650395983</v>
      </c>
      <c r="G25" s="40">
        <f t="shared" si="20"/>
        <v>0.09535589212</v>
      </c>
      <c r="H25" s="50">
        <f t="shared" si="21"/>
        <v>0.01203981926</v>
      </c>
      <c r="I25" s="49"/>
      <c r="J25" s="40">
        <v>0.09650395982800848</v>
      </c>
      <c r="K25" s="40">
        <v>0.09535589212132131</v>
      </c>
      <c r="L25" s="40">
        <v>0.09580019420743163</v>
      </c>
      <c r="M25" s="40">
        <v>0.09217090438678946</v>
      </c>
      <c r="N25" s="40">
        <v>0.0942118917181585</v>
      </c>
      <c r="O25" s="40">
        <v>0.09036124394800729</v>
      </c>
      <c r="P25" s="40">
        <v>0.08648576894161869</v>
      </c>
      <c r="Q25" s="40">
        <v>0.08024181609300998</v>
      </c>
      <c r="R25" s="40">
        <v>0.07690008651654552</v>
      </c>
      <c r="S25" s="40">
        <v>0.07939887997692723</v>
      </c>
      <c r="T25" s="40">
        <v>0.07666432288994136</v>
      </c>
      <c r="U25" s="40">
        <v>0.07568164260975654</v>
      </c>
      <c r="V25" s="40">
        <v>0.07588049416465227</v>
      </c>
      <c r="W25" s="40">
        <v>0.07661434314546495</v>
      </c>
      <c r="X25" s="40">
        <v>0.07648596220382145</v>
      </c>
      <c r="Y25" s="40">
        <v>0.07875904945121852</v>
      </c>
      <c r="Z25" s="40">
        <v>0.08159221029915374</v>
      </c>
      <c r="AA25" s="40">
        <v>0.06597475268691218</v>
      </c>
      <c r="AB25" s="40">
        <v>0.06630641032568592</v>
      </c>
      <c r="AC25" s="40">
        <v>0.06598786860068838</v>
      </c>
      <c r="AD25" s="40">
        <v>0.06526593589886773</v>
      </c>
      <c r="AE25" s="40">
        <v>0.052112194111115825</v>
      </c>
      <c r="AF25" s="40">
        <v>0.04057882062528524</v>
      </c>
      <c r="AG25" s="40">
        <v>0.040824469449710174</v>
      </c>
      <c r="AH25" s="40">
        <v>0.04154807745593105</v>
      </c>
      <c r="AI25" s="40">
        <v>0.041980478582786196</v>
      </c>
      <c r="AJ25" s="40">
        <v>0.040584174308259835</v>
      </c>
      <c r="AK25" s="40">
        <v>0.03977223833012498</v>
      </c>
      <c r="AL25" s="40">
        <v>0.039799318754520814</v>
      </c>
      <c r="AM25" s="40">
        <v>0.039491563466711364</v>
      </c>
      <c r="AN25" s="40">
        <v>0.038808804326165576</v>
      </c>
      <c r="AO25" s="40">
        <v>0.037214701103851576</v>
      </c>
      <c r="AP25" s="40">
        <v>0.03657451703707145</v>
      </c>
      <c r="AQ25" s="40">
        <v>0.03455754211625562</v>
      </c>
      <c r="AR25" s="40">
        <v>0.03431950077184594</v>
      </c>
      <c r="AS25" s="40">
        <v>0.03130825279218516</v>
      </c>
      <c r="AT25" s="40">
        <v>0.024621394400614966</v>
      </c>
      <c r="AU25" s="40">
        <v>0.024537382224426942</v>
      </c>
      <c r="AV25" s="40">
        <v>0.023290002077789196</v>
      </c>
      <c r="AW25" s="40">
        <v>0.022973772098924997</v>
      </c>
      <c r="AX25" s="40">
        <v>0.02191915202103414</v>
      </c>
      <c r="AY25" s="51">
        <v>0.02115335876475644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2">J26</f>
        <v>5493783.353</v>
      </c>
      <c r="G26" s="31">
        <f t="shared" si="22"/>
        <v>6185802.442</v>
      </c>
      <c r="H26" s="32">
        <f t="shared" si="21"/>
        <v>-0.1118721615</v>
      </c>
      <c r="I26" s="30"/>
      <c r="J26" s="31">
        <v>5493783.35260875</v>
      </c>
      <c r="K26" s="31">
        <v>6185802.442305806</v>
      </c>
      <c r="L26" s="31">
        <v>5535633.18636349</v>
      </c>
      <c r="M26" s="31">
        <v>5112899.561387938</v>
      </c>
      <c r="N26" s="31">
        <v>4804191.809110108</v>
      </c>
      <c r="O26" s="31">
        <v>4451091.478081553</v>
      </c>
      <c r="P26" s="31">
        <v>4561404.9940277105</v>
      </c>
      <c r="Q26" s="31">
        <v>3898549.9301827853</v>
      </c>
      <c r="R26" s="31">
        <v>3456671.723438222</v>
      </c>
      <c r="S26" s="31">
        <v>4254605.287841886</v>
      </c>
      <c r="T26" s="31">
        <v>2589686.602759625</v>
      </c>
      <c r="U26" s="31">
        <v>2515038.8609753135</v>
      </c>
      <c r="V26" s="31">
        <v>2656536.0780674424</v>
      </c>
      <c r="W26" s="31">
        <v>2746211.279437924</v>
      </c>
      <c r="X26" s="31">
        <v>2679433.525842121</v>
      </c>
      <c r="Y26" s="31">
        <v>2442700.784110814</v>
      </c>
      <c r="Z26" s="31">
        <v>1998122.5511706483</v>
      </c>
      <c r="AA26" s="31">
        <v>1794693.8296872526</v>
      </c>
      <c r="AB26" s="31">
        <v>2007957.950081444</v>
      </c>
      <c r="AC26" s="31">
        <v>2038379.8683106238</v>
      </c>
      <c r="AD26" s="31">
        <v>1869777.8234294925</v>
      </c>
      <c r="AE26" s="31">
        <v>2576525.3194260187</v>
      </c>
      <c r="AF26" s="31">
        <v>2021497.1634088233</v>
      </c>
      <c r="AG26" s="31">
        <v>2116239.607347241</v>
      </c>
      <c r="AH26" s="31">
        <v>2091331.8018934424</v>
      </c>
      <c r="AI26" s="31">
        <v>2149735.8354290877</v>
      </c>
      <c r="AJ26" s="31">
        <v>1983164.9655276497</v>
      </c>
      <c r="AK26" s="31">
        <v>1627922.6643691915</v>
      </c>
      <c r="AL26" s="36">
        <v>1617023.037560139</v>
      </c>
      <c r="AM26" s="36">
        <v>1427815.9080255893</v>
      </c>
      <c r="AN26" s="36">
        <v>881827.4388364757</v>
      </c>
      <c r="AO26" s="36">
        <v>503107.1960490587</v>
      </c>
      <c r="AP26" s="36">
        <v>409950.3127691727</v>
      </c>
      <c r="AQ26" s="36">
        <v>365586.9749741932</v>
      </c>
      <c r="AR26" s="36">
        <v>349543.4614497966</v>
      </c>
      <c r="AS26" s="36">
        <v>375632.9224575126</v>
      </c>
      <c r="AT26" s="36">
        <v>417628.7097861049</v>
      </c>
      <c r="AU26" s="36">
        <v>486724.4428192013</v>
      </c>
      <c r="AV26" s="36">
        <v>467735.1284401636</v>
      </c>
      <c r="AW26" s="36">
        <v>525195.9923336535</v>
      </c>
      <c r="AX26" s="36">
        <v>477273.2680536233</v>
      </c>
      <c r="AY26" s="37">
        <v>506034.3256779134</v>
      </c>
      <c r="AZ26" s="37">
        <v>624302.5311691142</v>
      </c>
      <c r="BA26" s="37">
        <v>652005.2083172217</v>
      </c>
      <c r="BB26" s="37">
        <v>783536.8385279387</v>
      </c>
      <c r="BC26" s="37">
        <v>846047.0581493689</v>
      </c>
      <c r="BD26" s="37">
        <v>765800.1240827747</v>
      </c>
      <c r="BE26" s="37">
        <v>814473.2744075868</v>
      </c>
    </row>
    <row r="27">
      <c r="D27" s="3"/>
      <c r="F27" s="4"/>
      <c r="G27" s="4"/>
      <c r="H27" s="5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>
        <f t="shared" ref="F29:G29" si="23">J29</f>
        <v>1</v>
      </c>
      <c r="G29" s="55">
        <f t="shared" si="23"/>
        <v>1</v>
      </c>
      <c r="H29" s="56">
        <f t="shared" ref="H29:H37" si="25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4">J30</f>
        <v>0.3817845281</v>
      </c>
      <c r="G30" s="55">
        <f t="shared" si="24"/>
        <v>0.3737025279</v>
      </c>
      <c r="H30" s="32">
        <f t="shared" si="25"/>
        <v>0.02162682775</v>
      </c>
      <c r="I30" s="30"/>
      <c r="J30" s="40">
        <v>0.3817845281194768</v>
      </c>
      <c r="K30" s="40">
        <v>0.37370252791719977</v>
      </c>
      <c r="L30" s="40">
        <v>0.37432997259666423</v>
      </c>
      <c r="M30" s="40">
        <v>0.37063430030148203</v>
      </c>
      <c r="N30" s="40">
        <v>0.3729409941653879</v>
      </c>
      <c r="O30" s="40">
        <v>0.3700350008488943</v>
      </c>
      <c r="P30" s="40">
        <v>0.3611110073488459</v>
      </c>
      <c r="Q30" s="40">
        <v>0.3719135184077148</v>
      </c>
      <c r="R30" s="40">
        <v>0.37960753864322694</v>
      </c>
      <c r="S30" s="40">
        <v>0.37358212036398414</v>
      </c>
      <c r="T30" s="40">
        <v>0.3736337201441706</v>
      </c>
      <c r="U30" s="40">
        <v>0.3665847592849241</v>
      </c>
      <c r="V30" s="40">
        <v>0.36611453565004676</v>
      </c>
      <c r="W30" s="40">
        <v>0.358023260161954</v>
      </c>
      <c r="X30" s="31">
        <v>0.36153586229277396</v>
      </c>
      <c r="Y30" s="31">
        <v>0.3657768337923104</v>
      </c>
      <c r="Z30" s="31">
        <v>0.36161450805968876</v>
      </c>
      <c r="AA30" s="31">
        <v>0.3700882667850843</v>
      </c>
      <c r="AB30" s="31">
        <v>0.3719770296255297</v>
      </c>
      <c r="AC30" s="31">
        <v>0.3674591791346356</v>
      </c>
      <c r="AD30" s="31">
        <v>0.3723259098945186</v>
      </c>
      <c r="AE30" s="31">
        <v>0.36122739075043236</v>
      </c>
      <c r="AF30" s="31">
        <v>0.3518239838616409</v>
      </c>
      <c r="AG30" s="31">
        <v>0.3430297890904912</v>
      </c>
      <c r="AH30" s="31">
        <v>0.33364517813551686</v>
      </c>
      <c r="AI30" s="31">
        <v>0.32590736021686745</v>
      </c>
      <c r="AJ30" s="31">
        <v>0.32162786606935473</v>
      </c>
      <c r="AK30" s="31">
        <v>0.3336661209515168</v>
      </c>
      <c r="AL30" s="31">
        <v>0.3387863543267457</v>
      </c>
      <c r="AM30" s="31">
        <v>0.346442200757379</v>
      </c>
      <c r="AN30" s="31">
        <v>0.35211052686365263</v>
      </c>
      <c r="AO30" s="31">
        <v>0.3617543743389343</v>
      </c>
      <c r="AP30" s="31">
        <v>0.3566798874387114</v>
      </c>
      <c r="AQ30" s="31">
        <v>0.3453820462774415</v>
      </c>
      <c r="AR30" s="31">
        <v>0.3426423768628574</v>
      </c>
      <c r="AS30" s="31">
        <v>0.33095080057653664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6">J31</f>
        <v>0.07850352926</v>
      </c>
      <c r="G31" s="55">
        <f t="shared" si="26"/>
        <v>0.08658533812</v>
      </c>
      <c r="H31" s="32">
        <f t="shared" si="25"/>
        <v>-0.09333923085</v>
      </c>
      <c r="I31" s="30"/>
      <c r="J31" s="40">
        <v>0.07850352926096049</v>
      </c>
      <c r="K31" s="40">
        <v>0.08658533812479925</v>
      </c>
      <c r="L31" s="40">
        <v>0.09052564226532475</v>
      </c>
      <c r="M31" s="40">
        <v>0.08768806217321239</v>
      </c>
      <c r="N31" s="40">
        <v>0.08777969286770577</v>
      </c>
      <c r="O31" s="40">
        <v>0.08820445136278143</v>
      </c>
      <c r="P31" s="40">
        <v>0.08338687787135594</v>
      </c>
      <c r="Q31" s="40">
        <v>0.07671885057655503</v>
      </c>
      <c r="R31" s="40">
        <v>0.07451925868458584</v>
      </c>
      <c r="S31" s="40">
        <v>0.06908591245858489</v>
      </c>
      <c r="T31" s="40">
        <v>0.0696396056558018</v>
      </c>
      <c r="U31" s="40">
        <v>0.06675839569564947</v>
      </c>
      <c r="V31" s="40">
        <v>0.04724913419574196</v>
      </c>
      <c r="W31" s="40">
        <v>0.046795432050888756</v>
      </c>
      <c r="X31" s="31">
        <v>0.046304906399230565</v>
      </c>
      <c r="Y31" s="31">
        <v>0.047137979187690054</v>
      </c>
      <c r="Z31" s="31">
        <v>0.04448133081332411</v>
      </c>
      <c r="AA31" s="31">
        <v>0.04603644740158183</v>
      </c>
      <c r="AB31" s="31">
        <v>0.04890165376391264</v>
      </c>
      <c r="AC31" s="31">
        <v>0.044433131644921124</v>
      </c>
      <c r="AD31" s="31">
        <v>0.040024251635486875</v>
      </c>
      <c r="AE31" s="31">
        <v>0.043376117065829035</v>
      </c>
      <c r="AF31" s="31">
        <v>0.04444332035744434</v>
      </c>
      <c r="AG31" s="31">
        <v>0.04134729974908419</v>
      </c>
      <c r="AH31" s="31">
        <v>0.047618513849142625</v>
      </c>
      <c r="AI31" s="31">
        <v>0.0469847629122561</v>
      </c>
      <c r="AJ31" s="31">
        <v>0.0455193684851152</v>
      </c>
      <c r="AK31" s="31">
        <v>0.03503089372361829</v>
      </c>
      <c r="AL31" s="31">
        <v>0.03486033108127573</v>
      </c>
      <c r="AM31" s="31">
        <v>0.03326909678422771</v>
      </c>
      <c r="AN31" s="31">
        <v>0.030451017246708</v>
      </c>
      <c r="AO31" s="31">
        <v>0.028842117001970296</v>
      </c>
      <c r="AP31" s="31">
        <v>0.03087291266430549</v>
      </c>
      <c r="AQ31" s="31">
        <v>0.031437232007419144</v>
      </c>
      <c r="AR31" s="31">
        <v>0.03144725854092759</v>
      </c>
      <c r="AS31" s="31">
        <v>0.029882709308913024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27">J32</f>
        <v>0.125461176</v>
      </c>
      <c r="G32" s="55">
        <f t="shared" si="27"/>
        <v>0.1135282257</v>
      </c>
      <c r="H32" s="32">
        <f t="shared" si="25"/>
        <v>0.1051099866</v>
      </c>
      <c r="I32" s="30"/>
      <c r="J32" s="40">
        <v>0.1254611759820292</v>
      </c>
      <c r="K32" s="40">
        <v>0.11352822569812167</v>
      </c>
      <c r="L32" s="40">
        <v>0.1157142770909981</v>
      </c>
      <c r="M32" s="40">
        <v>0.11698634106681295</v>
      </c>
      <c r="N32" s="40">
        <v>0.11543290256217789</v>
      </c>
      <c r="O32" s="40">
        <v>0.1170577861751035</v>
      </c>
      <c r="P32" s="40">
        <v>0.11866223132403418</v>
      </c>
      <c r="Q32" s="40">
        <v>0.12666750980341948</v>
      </c>
      <c r="R32" s="40">
        <v>0.13074823872555552</v>
      </c>
      <c r="S32" s="40">
        <v>0.1315030550683737</v>
      </c>
      <c r="T32" s="40">
        <v>0.1344098020581264</v>
      </c>
      <c r="U32" s="40">
        <v>0.13908951024648555</v>
      </c>
      <c r="V32" s="40">
        <v>0.13870285752624203</v>
      </c>
      <c r="W32" s="40">
        <v>0.13840017779497663</v>
      </c>
      <c r="X32" s="31">
        <v>0.14700808768118756</v>
      </c>
      <c r="Y32" s="31">
        <v>0.14407914217433132</v>
      </c>
      <c r="Z32" s="31">
        <v>0.14777594362186333</v>
      </c>
      <c r="AA32" s="31">
        <v>0.14112808357882448</v>
      </c>
      <c r="AB32" s="31">
        <v>0.14350719528354616</v>
      </c>
      <c r="AC32" s="31">
        <v>0.15349991815944758</v>
      </c>
      <c r="AD32" s="31">
        <v>0.15735201907194443</v>
      </c>
      <c r="AE32" s="31">
        <v>0.16380153428414274</v>
      </c>
      <c r="AF32" s="31">
        <v>0.17618954503635406</v>
      </c>
      <c r="AG32" s="31">
        <v>0.17274505490735706</v>
      </c>
      <c r="AH32" s="31">
        <v>0.17229377834755008</v>
      </c>
      <c r="AI32" s="31">
        <v>0.17008269676914584</v>
      </c>
      <c r="AJ32" s="31">
        <v>0.16697140207246977</v>
      </c>
      <c r="AK32" s="31">
        <v>0.16959705017949425</v>
      </c>
      <c r="AL32" s="31">
        <v>0.17727823313661834</v>
      </c>
      <c r="AM32" s="31">
        <v>0.18004644251453283</v>
      </c>
      <c r="AN32" s="31">
        <v>0.17442676538253313</v>
      </c>
      <c r="AO32" s="31">
        <v>0.17547966974150914</v>
      </c>
      <c r="AP32" s="31">
        <v>0.17622311874200786</v>
      </c>
      <c r="AQ32" s="31">
        <v>0.18279370004337664</v>
      </c>
      <c r="AR32" s="31">
        <v>0.18399222349828911</v>
      </c>
      <c r="AS32" s="31">
        <v>0.19140282742367673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28">J33</f>
        <v>0.04424751084</v>
      </c>
      <c r="G33" s="55">
        <f t="shared" si="28"/>
        <v>0.04541183415</v>
      </c>
      <c r="H33" s="32">
        <f t="shared" si="25"/>
        <v>-0.02563920462</v>
      </c>
      <c r="I33" s="30"/>
      <c r="J33" s="40">
        <v>0.04424751084040587</v>
      </c>
      <c r="K33" s="40">
        <v>0.04541183414846004</v>
      </c>
      <c r="L33" s="40">
        <v>0.04708885954130424</v>
      </c>
      <c r="M33" s="40">
        <v>0.047506697459320485</v>
      </c>
      <c r="N33" s="40">
        <v>0.043134120853034016</v>
      </c>
      <c r="O33" s="40">
        <v>0.042498536376411676</v>
      </c>
      <c r="P33" s="40">
        <v>0.04337019007505503</v>
      </c>
      <c r="Q33" s="40">
        <v>0.04507381714396742</v>
      </c>
      <c r="R33" s="40">
        <v>0.046151919435092496</v>
      </c>
      <c r="S33" s="40">
        <v>0.04659297829045202</v>
      </c>
      <c r="T33" s="40">
        <v>0.04494246220308642</v>
      </c>
      <c r="U33" s="40">
        <v>0.0450438231513008</v>
      </c>
      <c r="V33" s="40">
        <v>0.0452994621610987</v>
      </c>
      <c r="W33" s="40">
        <v>0.04538483213708514</v>
      </c>
      <c r="X33" s="31">
        <v>0.044085657895549926</v>
      </c>
      <c r="Y33" s="31">
        <v>0.043042483002636814</v>
      </c>
      <c r="Z33" s="31">
        <v>0.04152312009006277</v>
      </c>
      <c r="AA33" s="31">
        <v>0.04305762968116128</v>
      </c>
      <c r="AB33" s="31">
        <v>0.0446318518728315</v>
      </c>
      <c r="AC33" s="31">
        <v>0.04536983144545211</v>
      </c>
      <c r="AD33" s="31">
        <v>0.04474486953645386</v>
      </c>
      <c r="AE33" s="31">
        <v>0.04337687593621321</v>
      </c>
      <c r="AF33" s="31">
        <v>0.04448886678339289</v>
      </c>
      <c r="AG33" s="31">
        <v>0.04067034127437637</v>
      </c>
      <c r="AH33" s="31">
        <v>0.04046502151944696</v>
      </c>
      <c r="AI33" s="31">
        <v>0.04037697122667728</v>
      </c>
      <c r="AJ33" s="31">
        <v>0.03951598418469609</v>
      </c>
      <c r="AK33" s="31">
        <v>0.03852306797112312</v>
      </c>
      <c r="AL33" s="31">
        <v>0.04314798217740293</v>
      </c>
      <c r="AM33" s="31">
        <v>0.04415605149458041</v>
      </c>
      <c r="AN33" s="31">
        <v>0.042627890178205896</v>
      </c>
      <c r="AO33" s="31">
        <v>0.04303554409333531</v>
      </c>
      <c r="AP33" s="31">
        <v>0.0436758771306941</v>
      </c>
      <c r="AQ33" s="31">
        <v>0.042561307020532776</v>
      </c>
      <c r="AR33" s="31">
        <v>0.04103564276207989</v>
      </c>
      <c r="AS33" s="31">
        <v>0.04124335539886432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29">J34</f>
        <v>0.1014150246</v>
      </c>
      <c r="G34" s="55">
        <f t="shared" si="29"/>
        <v>0.1008205578</v>
      </c>
      <c r="H34" s="32">
        <f t="shared" si="25"/>
        <v>0.005896286021</v>
      </c>
      <c r="I34" s="30"/>
      <c r="J34" s="40">
        <v>0.10141502460348571</v>
      </c>
      <c r="K34" s="40">
        <v>0.10082055775818946</v>
      </c>
      <c r="L34" s="40">
        <v>0.0977828141724307</v>
      </c>
      <c r="M34" s="40">
        <v>0.10090451397763543</v>
      </c>
      <c r="N34" s="40">
        <v>0.10468919088989978</v>
      </c>
      <c r="O34" s="40">
        <v>0.10590057876743497</v>
      </c>
      <c r="P34" s="40">
        <v>0.10713144314086093</v>
      </c>
      <c r="Q34" s="40">
        <v>0.1117895929428281</v>
      </c>
      <c r="R34" s="40">
        <v>0.10938573696121028</v>
      </c>
      <c r="S34" s="40">
        <v>0.11420536812307172</v>
      </c>
      <c r="T34" s="40">
        <v>0.10799395825418452</v>
      </c>
      <c r="U34" s="40">
        <v>0.10795165964705208</v>
      </c>
      <c r="V34" s="40">
        <v>0.10942190408239762</v>
      </c>
      <c r="W34" s="40">
        <v>0.10873050325845678</v>
      </c>
      <c r="X34" s="31">
        <v>0.10930548983923563</v>
      </c>
      <c r="Y34" s="31">
        <v>0.10874134321524855</v>
      </c>
      <c r="Z34" s="31">
        <v>0.11095600155194021</v>
      </c>
      <c r="AA34" s="31">
        <v>0.10974133865057557</v>
      </c>
      <c r="AB34" s="31">
        <v>0.10989240877704101</v>
      </c>
      <c r="AC34" s="31">
        <v>0.11038037824206494</v>
      </c>
      <c r="AD34" s="31">
        <v>0.1106862581561851</v>
      </c>
      <c r="AE34" s="31">
        <v>0.11378347316899926</v>
      </c>
      <c r="AF34" s="31">
        <v>0.111549760515471</v>
      </c>
      <c r="AG34" s="31">
        <v>0.1176296187878983</v>
      </c>
      <c r="AH34" s="31">
        <v>0.1198819018554116</v>
      </c>
      <c r="AI34" s="31">
        <v>0.12291552514654745</v>
      </c>
      <c r="AJ34" s="31">
        <v>0.12385074602956922</v>
      </c>
      <c r="AK34" s="31">
        <v>0.12629484890922718</v>
      </c>
      <c r="AL34" s="31">
        <v>0.1242524531000981</v>
      </c>
      <c r="AM34" s="31">
        <v>0.12695956872078287</v>
      </c>
      <c r="AN34" s="31">
        <v>0.13153848215879538</v>
      </c>
      <c r="AO34" s="31">
        <v>0.12964292131493088</v>
      </c>
      <c r="AP34" s="31">
        <v>0.1272064064584123</v>
      </c>
      <c r="AQ34" s="31">
        <v>0.12471650521954411</v>
      </c>
      <c r="AR34" s="31">
        <v>0.12425851083940916</v>
      </c>
      <c r="AS34" s="31">
        <v>0.1250511916821867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30">J35</f>
        <v>0.03253368908</v>
      </c>
      <c r="G35" s="55">
        <f t="shared" si="30"/>
        <v>0.04041515044</v>
      </c>
      <c r="H35" s="32">
        <f t="shared" si="25"/>
        <v>-0.1950125455</v>
      </c>
      <c r="I35" s="30"/>
      <c r="J35" s="40">
        <v>0.0325336890758343</v>
      </c>
      <c r="K35" s="40">
        <v>0.04041515044012125</v>
      </c>
      <c r="L35" s="40">
        <v>0.04255813281266499</v>
      </c>
      <c r="M35" s="40">
        <v>0.042798325014043175</v>
      </c>
      <c r="N35" s="40">
        <v>0.039729628967943915</v>
      </c>
      <c r="O35" s="40">
        <v>0.040678152233668816</v>
      </c>
      <c r="P35" s="40">
        <v>0.04624584465823579</v>
      </c>
      <c r="Q35" s="40">
        <v>0.0351516874039865</v>
      </c>
      <c r="R35" s="40">
        <v>0.030823926893144157</v>
      </c>
      <c r="S35" s="40">
        <v>0.039148681371739824</v>
      </c>
      <c r="T35" s="40">
        <v>0.037322398874367925</v>
      </c>
      <c r="U35" s="40">
        <v>0.037977554511722515</v>
      </c>
      <c r="V35" s="40">
        <v>0.04760795258512292</v>
      </c>
      <c r="W35" s="40">
        <v>0.053269072833925325</v>
      </c>
      <c r="X35" s="31">
        <v>0.049693948436994054</v>
      </c>
      <c r="Y35" s="31">
        <v>0.04612747772124207</v>
      </c>
      <c r="Z35" s="31">
        <v>0.04582349608942815</v>
      </c>
      <c r="AA35" s="31">
        <v>0.04271124836728678</v>
      </c>
      <c r="AB35" s="31">
        <v>0.048001673269657236</v>
      </c>
      <c r="AC35" s="31">
        <v>0.05082566482733493</v>
      </c>
      <c r="AD35" s="31">
        <v>0.04367443664595569</v>
      </c>
      <c r="AE35" s="31">
        <v>0.05004681195447136</v>
      </c>
      <c r="AF35" s="31">
        <v>0.047702575776847174</v>
      </c>
      <c r="AG35" s="31">
        <v>0.057107583601853563</v>
      </c>
      <c r="AH35" s="31">
        <v>0.059778249291783964</v>
      </c>
      <c r="AI35" s="31">
        <v>0.05507943768401363</v>
      </c>
      <c r="AJ35" s="31">
        <v>0.06477815700632503</v>
      </c>
      <c r="AK35" s="31">
        <v>0.04609350960590161</v>
      </c>
      <c r="AL35" s="31">
        <v>0.030440593177219446</v>
      </c>
      <c r="AM35" s="31">
        <v>0.014596085047011759</v>
      </c>
      <c r="AN35" s="31">
        <v>0.005827052185518797</v>
      </c>
      <c r="AO35" s="31">
        <v>0.0028981658960945305</v>
      </c>
      <c r="AP35" s="31">
        <v>0.002656708975382669</v>
      </c>
      <c r="AQ35" s="31">
        <v>0.0031920916752396777</v>
      </c>
      <c r="AR35" s="31">
        <v>0.0035720163231917025</v>
      </c>
      <c r="AS35" s="31">
        <v>0.0039298071437542294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1">J36</f>
        <v>0.08675264988</v>
      </c>
      <c r="G36" s="55">
        <f t="shared" si="31"/>
        <v>0.09137381166</v>
      </c>
      <c r="H36" s="32">
        <f t="shared" si="25"/>
        <v>-0.05057424763</v>
      </c>
      <c r="I36" s="30"/>
      <c r="J36" s="40">
        <v>0.08675264988463753</v>
      </c>
      <c r="K36" s="40">
        <v>0.09137381166215475</v>
      </c>
      <c r="L36" s="40">
        <v>0.08562877868987363</v>
      </c>
      <c r="M36" s="40">
        <v>0.06998680783996121</v>
      </c>
      <c r="N36" s="40">
        <v>0.06091311045289265</v>
      </c>
      <c r="O36" s="40">
        <v>0.04947875603279166</v>
      </c>
      <c r="P36" s="40">
        <v>0.040984975861538195</v>
      </c>
      <c r="Q36" s="40">
        <v>0.035680908836262126</v>
      </c>
      <c r="R36" s="40">
        <v>0.03583509123796635</v>
      </c>
      <c r="S36" s="40">
        <v>0.03510547473685071</v>
      </c>
      <c r="T36" s="40">
        <v>0.03193712672281082</v>
      </c>
      <c r="U36" s="40">
        <v>0.032049036445463065</v>
      </c>
      <c r="V36" s="40">
        <v>0.03218090137996472</v>
      </c>
      <c r="W36" s="40">
        <v>0.025008564973489238</v>
      </c>
      <c r="X36" s="31">
        <v>0.02166051323726336</v>
      </c>
      <c r="Y36" s="31">
        <v>0.015537149406374347</v>
      </c>
      <c r="Z36" s="31">
        <v>0.00882908371239399</v>
      </c>
      <c r="AA36" s="31">
        <v>0.0039027680659869638</v>
      </c>
      <c r="AB36" s="31">
        <v>0.002066584835347673</v>
      </c>
      <c r="AC36" s="31">
        <v>2.0100409572662852E-4</v>
      </c>
      <c r="AD36" s="31">
        <v>1.2727438214153158E-4</v>
      </c>
      <c r="AE36" s="31">
        <v>1.0260797445535505E-4</v>
      </c>
      <c r="AF36" s="31">
        <v>0.0</v>
      </c>
      <c r="AG36" s="31">
        <v>0.0</v>
      </c>
      <c r="AH36" s="31">
        <v>0.0</v>
      </c>
      <c r="AI36" s="31">
        <v>0.0</v>
      </c>
      <c r="AJ36" s="31">
        <v>0.0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2">J37</f>
        <v>0.1493018922</v>
      </c>
      <c r="G37" s="55">
        <f t="shared" si="32"/>
        <v>0.1481625543</v>
      </c>
      <c r="H37" s="56">
        <f t="shared" si="25"/>
        <v>0.007689783616</v>
      </c>
      <c r="I37" s="30"/>
      <c r="J37" s="40">
        <v>0.1493018922331701</v>
      </c>
      <c r="K37" s="40">
        <v>0.1481625542509538</v>
      </c>
      <c r="L37" s="40">
        <v>0.14637152283073937</v>
      </c>
      <c r="M37" s="40">
        <v>0.16349495216753238</v>
      </c>
      <c r="N37" s="40">
        <v>0.17538035924095804</v>
      </c>
      <c r="O37" s="40">
        <v>0.18614673820291366</v>
      </c>
      <c r="P37" s="40">
        <v>0.19910742972007395</v>
      </c>
      <c r="Q37" s="40">
        <v>0.19700411488526656</v>
      </c>
      <c r="R37" s="40">
        <v>0.19292828941921839</v>
      </c>
      <c r="S37" s="40">
        <v>0.19077640958694295</v>
      </c>
      <c r="T37" s="40">
        <v>0.20012092608745152</v>
      </c>
      <c r="U37" s="40">
        <v>0.2045452610174025</v>
      </c>
      <c r="V37" s="40">
        <v>0.21342325241938517</v>
      </c>
      <c r="W37" s="40">
        <v>0.22438815678922414</v>
      </c>
      <c r="X37" s="31">
        <v>0.22040553421776504</v>
      </c>
      <c r="Y37" s="31">
        <v>0.22955759150016652</v>
      </c>
      <c r="Z37" s="31">
        <v>0.23899651606129876</v>
      </c>
      <c r="AA37" s="31">
        <v>0.2433342174694989</v>
      </c>
      <c r="AB37" s="31">
        <v>0.23102160257213417</v>
      </c>
      <c r="AC37" s="31">
        <v>0.2278308924504171</v>
      </c>
      <c r="AD37" s="31">
        <v>0.23106498067731393</v>
      </c>
      <c r="AE37" s="31">
        <v>0.22428518886545684</v>
      </c>
      <c r="AF37" s="31">
        <v>0.22380194766884967</v>
      </c>
      <c r="AG37" s="31">
        <v>0.22747031258893935</v>
      </c>
      <c r="AH37" s="31">
        <v>0.22631735700114777</v>
      </c>
      <c r="AI37" s="31">
        <v>0.23865324604449223</v>
      </c>
      <c r="AJ37" s="31">
        <v>0.23773647615246996</v>
      </c>
      <c r="AK37" s="31">
        <v>0.25079450865911873</v>
      </c>
      <c r="AL37" s="31">
        <v>0.2512340530006399</v>
      </c>
      <c r="AM37" s="31">
        <v>0.25453055468148544</v>
      </c>
      <c r="AN37" s="31">
        <v>0.2630182659845861</v>
      </c>
      <c r="AO37" s="31">
        <v>0.25834720761322555</v>
      </c>
      <c r="AP37" s="31">
        <v>0.2626850885904862</v>
      </c>
      <c r="AQ37" s="31">
        <v>0.26991711775644606</v>
      </c>
      <c r="AR37" s="31">
        <v>0.2730519711732452</v>
      </c>
      <c r="AS37" s="31">
        <v>0.27753930846606834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3">J40</f>
        <v>1</v>
      </c>
      <c r="G40" s="55">
        <f t="shared" si="33"/>
        <v>1</v>
      </c>
      <c r="H40" s="32">
        <f t="shared" ref="H40:H48" si="35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>
        <v>1.0</v>
      </c>
      <c r="AO40" s="31">
        <v>1.0</v>
      </c>
      <c r="AP40" s="31">
        <v>1.0</v>
      </c>
      <c r="AQ40" s="31">
        <v>1.0</v>
      </c>
      <c r="AR40" s="31">
        <v>1.0</v>
      </c>
      <c r="AS40" s="31">
        <v>1.0</v>
      </c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4">J41</f>
        <v>0.5180853642</v>
      </c>
      <c r="G41" s="55">
        <f t="shared" si="34"/>
        <v>0.4812353732</v>
      </c>
      <c r="H41" s="32">
        <f t="shared" si="35"/>
        <v>0.07657373731</v>
      </c>
      <c r="I41" s="30"/>
      <c r="J41" s="40">
        <v>0.5180853642153666</v>
      </c>
      <c r="K41" s="40">
        <v>0.48123537316828874</v>
      </c>
      <c r="L41" s="40">
        <v>0.4985347464456373</v>
      </c>
      <c r="M41" s="40">
        <v>0.5102966536169689</v>
      </c>
      <c r="N41" s="40">
        <v>0.520579660291076</v>
      </c>
      <c r="O41" s="40">
        <v>0.5278532832690112</v>
      </c>
      <c r="P41" s="40">
        <v>0.5463769087071954</v>
      </c>
      <c r="Q41" s="40">
        <v>0.5639700536831362</v>
      </c>
      <c r="R41" s="40">
        <v>0.5884533426453171</v>
      </c>
      <c r="S41" s="40">
        <v>0.5589931561903637</v>
      </c>
      <c r="T41" s="40">
        <v>0.5708029117419381</v>
      </c>
      <c r="U41" s="40">
        <v>0.548646877173148</v>
      </c>
      <c r="V41" s="40">
        <v>0.5695438939275083</v>
      </c>
      <c r="W41" s="40">
        <v>0.5468352113672571</v>
      </c>
      <c r="X41" s="31">
        <v>0.5554768805307068</v>
      </c>
      <c r="Y41" s="31">
        <v>0.5607328113704753</v>
      </c>
      <c r="Z41" s="31">
        <v>0.5495172808512916</v>
      </c>
      <c r="AA41" s="31">
        <v>0.5574001261737794</v>
      </c>
      <c r="AB41" s="31">
        <v>0.568778486012429</v>
      </c>
      <c r="AC41" s="31">
        <v>0.5771394665944881</v>
      </c>
      <c r="AD41" s="31">
        <v>0.568693606374622</v>
      </c>
      <c r="AE41" s="31">
        <v>0.6004409002727943</v>
      </c>
      <c r="AF41" s="31">
        <v>0.6090232190515066</v>
      </c>
      <c r="AG41" s="31">
        <v>0.6013193734781177</v>
      </c>
      <c r="AH41" s="31">
        <v>0.5909057501339666</v>
      </c>
      <c r="AI41" s="31">
        <v>0.5876319924273345</v>
      </c>
      <c r="AJ41" s="31">
        <v>0.5992526858265117</v>
      </c>
      <c r="AK41" s="31">
        <v>0.599527981877229</v>
      </c>
      <c r="AL41" s="31">
        <v>0.6112347186651027</v>
      </c>
      <c r="AM41" s="31">
        <v>0.6189409233030708</v>
      </c>
      <c r="AN41" s="31">
        <v>0.6344289993281436</v>
      </c>
      <c r="AO41" s="31">
        <v>0.6500130694935439</v>
      </c>
      <c r="AP41" s="31">
        <v>0.6408319251956304</v>
      </c>
      <c r="AQ41" s="31">
        <v>0.6468395467189721</v>
      </c>
      <c r="AR41" s="31">
        <v>0.6431238706489292</v>
      </c>
      <c r="AS41" s="31">
        <v>0.6513236490069148</v>
      </c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6">J42</f>
        <v>0.1746593398</v>
      </c>
      <c r="G42" s="55">
        <f t="shared" si="36"/>
        <v>0.1865636672</v>
      </c>
      <c r="H42" s="32">
        <f t="shared" si="35"/>
        <v>-0.06380839096</v>
      </c>
      <c r="I42" s="30"/>
      <c r="J42" s="40">
        <v>0.17465933975418022</v>
      </c>
      <c r="K42" s="40">
        <v>0.18656366716706058</v>
      </c>
      <c r="L42" s="40">
        <v>0.17078783769211162</v>
      </c>
      <c r="M42" s="40">
        <v>0.16417404281185402</v>
      </c>
      <c r="N42" s="40">
        <v>0.16366641292298376</v>
      </c>
      <c r="O42" s="40">
        <v>0.1529121073884361</v>
      </c>
      <c r="P42" s="40">
        <v>0.1424650011939194</v>
      </c>
      <c r="Q42" s="40">
        <v>0.11816345067968266</v>
      </c>
      <c r="R42" s="40">
        <v>0.10396026311986122</v>
      </c>
      <c r="S42" s="40">
        <v>0.11811180296905648</v>
      </c>
      <c r="T42" s="40">
        <v>0.12196694079186883</v>
      </c>
      <c r="U42" s="40">
        <v>0.12557780000320928</v>
      </c>
      <c r="V42" s="40">
        <v>0.0934817405377725</v>
      </c>
      <c r="W42" s="40">
        <v>0.08773900589286093</v>
      </c>
      <c r="X42" s="31">
        <v>0.08857226184224418</v>
      </c>
      <c r="Y42" s="31">
        <v>0.09477407197173911</v>
      </c>
      <c r="Z42" s="31">
        <v>0.09775783927565918</v>
      </c>
      <c r="AA42" s="31">
        <v>0.10728826219944565</v>
      </c>
      <c r="AB42" s="31">
        <v>0.10023103942187045</v>
      </c>
      <c r="AC42" s="31">
        <v>0.09579341389349201</v>
      </c>
      <c r="AD42" s="31">
        <v>0.09629366533121575</v>
      </c>
      <c r="AE42" s="31">
        <v>0.08790376279661179</v>
      </c>
      <c r="AF42" s="31">
        <v>0.08932903831163005</v>
      </c>
      <c r="AG42" s="31">
        <v>0.08964464968966854</v>
      </c>
      <c r="AH42" s="31">
        <v>0.0975588835847901</v>
      </c>
      <c r="AI42" s="31">
        <v>0.10098231914367348</v>
      </c>
      <c r="AJ42" s="31">
        <v>0.0958928082332014</v>
      </c>
      <c r="AK42" s="31">
        <v>0.08675559702229102</v>
      </c>
      <c r="AL42" s="31">
        <v>0.09086104148869514</v>
      </c>
      <c r="AM42" s="31">
        <v>0.0879305964486423</v>
      </c>
      <c r="AN42" s="31">
        <v>0.08939132406334803</v>
      </c>
      <c r="AO42" s="31">
        <v>0.08247469660817425</v>
      </c>
      <c r="AP42" s="31">
        <v>0.0865078470892953</v>
      </c>
      <c r="AQ42" s="31">
        <v>0.09001544921915082</v>
      </c>
      <c r="AR42" s="31">
        <v>0.08664725063751659</v>
      </c>
      <c r="AS42" s="31">
        <v>0.0836716861266531</v>
      </c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37">J43</f>
        <v>0.1687054016</v>
      </c>
      <c r="G43" s="55">
        <f t="shared" si="37"/>
        <v>0.1775118232</v>
      </c>
      <c r="H43" s="32">
        <f t="shared" si="35"/>
        <v>-0.04961033817</v>
      </c>
      <c r="I43" s="30"/>
      <c r="J43" s="40">
        <v>0.16870540157837838</v>
      </c>
      <c r="K43" s="40">
        <v>0.17751182315401973</v>
      </c>
      <c r="L43" s="40">
        <v>0.1742029708711712</v>
      </c>
      <c r="M43" s="40">
        <v>0.17190674638676426</v>
      </c>
      <c r="N43" s="40">
        <v>0.18338814424145225</v>
      </c>
      <c r="O43" s="40">
        <v>0.18671173262798238</v>
      </c>
      <c r="P43" s="40">
        <v>0.17328676210020377</v>
      </c>
      <c r="Q43" s="40">
        <v>0.18036927654855672</v>
      </c>
      <c r="R43" s="40">
        <v>0.1691842508691117</v>
      </c>
      <c r="S43" s="40">
        <v>0.1831784467618977</v>
      </c>
      <c r="T43" s="40">
        <v>0.1714854538791296</v>
      </c>
      <c r="U43" s="40">
        <v>0.1905428297313293</v>
      </c>
      <c r="V43" s="40">
        <v>0.2008554448469717</v>
      </c>
      <c r="W43" s="40">
        <v>0.21098096049093257</v>
      </c>
      <c r="X43" s="31">
        <v>0.21917550182089524</v>
      </c>
      <c r="Y43" s="31">
        <v>0.21608935116365707</v>
      </c>
      <c r="Z43" s="31">
        <v>0.2262800937273194</v>
      </c>
      <c r="AA43" s="31">
        <v>0.2105006782043614</v>
      </c>
      <c r="AB43" s="31">
        <v>0.2078743606536907</v>
      </c>
      <c r="AC43" s="31">
        <v>0.2067546944078588</v>
      </c>
      <c r="AD43" s="31">
        <v>0.2144271638929562</v>
      </c>
      <c r="AE43" s="31">
        <v>0.19981127234741755</v>
      </c>
      <c r="AF43" s="31">
        <v>0.19686241640838414</v>
      </c>
      <c r="AG43" s="31">
        <v>0.2042092479079379</v>
      </c>
      <c r="AH43" s="31">
        <v>0.2058643274621562</v>
      </c>
      <c r="AI43" s="31">
        <v>0.2091874549823696</v>
      </c>
      <c r="AJ43" s="31">
        <v>0.2085732932877771</v>
      </c>
      <c r="AK43" s="31">
        <v>0.2140594824096058</v>
      </c>
      <c r="AL43" s="31">
        <v>0.20851705785523977</v>
      </c>
      <c r="AM43" s="31">
        <v>0.21660253649932124</v>
      </c>
      <c r="AN43" s="31">
        <v>0.20349510525977835</v>
      </c>
      <c r="AO43" s="31">
        <v>0.20531685872216818</v>
      </c>
      <c r="AP43" s="31">
        <v>0.21239309393976158</v>
      </c>
      <c r="AQ43" s="31">
        <v>0.21005003307008566</v>
      </c>
      <c r="AR43" s="31">
        <v>0.21828323237977082</v>
      </c>
      <c r="AS43" s="31">
        <v>0.21922483590057568</v>
      </c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38">J44</f>
        <v>0.02800966127</v>
      </c>
      <c r="G44" s="55">
        <f t="shared" si="38"/>
        <v>0.03500409391</v>
      </c>
      <c r="H44" s="32">
        <f t="shared" si="35"/>
        <v>-0.1998175602</v>
      </c>
      <c r="I44" s="30"/>
      <c r="J44" s="40">
        <v>0.028009661270444276</v>
      </c>
      <c r="K44" s="40">
        <v>0.035004093912761165</v>
      </c>
      <c r="L44" s="40">
        <v>0.03794467678140472</v>
      </c>
      <c r="M44" s="40">
        <v>0.038053858549673795</v>
      </c>
      <c r="N44" s="40">
        <v>0.019534086071612198</v>
      </c>
      <c r="O44" s="40">
        <v>0.02104190419000219</v>
      </c>
      <c r="P44" s="40">
        <v>0.029890222671015494</v>
      </c>
      <c r="Q44" s="40">
        <v>0.030646094067861913</v>
      </c>
      <c r="R44" s="40">
        <v>0.03434444338399922</v>
      </c>
      <c r="S44" s="40">
        <v>0.03381747347752626</v>
      </c>
      <c r="T44" s="40">
        <v>0.03786373447000437</v>
      </c>
      <c r="U44" s="40">
        <v>0.03818116566996968</v>
      </c>
      <c r="V44" s="40">
        <v>0.03808441799133931</v>
      </c>
      <c r="W44" s="40">
        <v>0.049588622653352225</v>
      </c>
      <c r="X44" s="31">
        <v>0.04619634346780421</v>
      </c>
      <c r="Y44" s="31">
        <v>0.04388370958913531</v>
      </c>
      <c r="Z44" s="31">
        <v>0.05053561629654985</v>
      </c>
      <c r="AA44" s="31">
        <v>0.05319905930301568</v>
      </c>
      <c r="AB44" s="31">
        <v>0.052386997154742196</v>
      </c>
      <c r="AC44" s="31">
        <v>0.05195148271641003</v>
      </c>
      <c r="AD44" s="31">
        <v>0.05496968670181776</v>
      </c>
      <c r="AE44" s="31">
        <v>0.04972019432662877</v>
      </c>
      <c r="AF44" s="31">
        <v>0.04956500030714107</v>
      </c>
      <c r="AG44" s="31">
        <v>0.05155788999900052</v>
      </c>
      <c r="AH44" s="31">
        <v>0.047748314028829085</v>
      </c>
      <c r="AI44" s="31">
        <v>0.0457633495368525</v>
      </c>
      <c r="AJ44" s="31">
        <v>0.04798265245034108</v>
      </c>
      <c r="AK44" s="31">
        <v>0.05050130997202441</v>
      </c>
      <c r="AL44" s="31">
        <v>0.046307569934463506</v>
      </c>
      <c r="AM44" s="31">
        <v>0.03700503756279162</v>
      </c>
      <c r="AN44" s="31">
        <v>0.0355615418007687</v>
      </c>
      <c r="AO44" s="31">
        <v>0.026103308671948093</v>
      </c>
      <c r="AP44" s="31">
        <v>0.022743857680830332</v>
      </c>
      <c r="AQ44" s="31">
        <v>0.01885587913900899</v>
      </c>
      <c r="AR44" s="31">
        <v>0.019649655025673077</v>
      </c>
      <c r="AS44" s="31">
        <v>0.015039129514568282</v>
      </c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39">J45</f>
        <v>0.06804063093</v>
      </c>
      <c r="G45" s="55">
        <f t="shared" si="39"/>
        <v>0.07558432545</v>
      </c>
      <c r="H45" s="32">
        <f t="shared" si="35"/>
        <v>-0.09980501215</v>
      </c>
      <c r="I45" s="30"/>
      <c r="J45" s="40">
        <v>0.0680406309319743</v>
      </c>
      <c r="K45" s="40">
        <v>0.07558432545223782</v>
      </c>
      <c r="L45" s="40">
        <v>0.07580355759084441</v>
      </c>
      <c r="M45" s="40">
        <v>0.07589110140724087</v>
      </c>
      <c r="N45" s="40">
        <v>0.07702638449987631</v>
      </c>
      <c r="O45" s="40">
        <v>0.0760102251304714</v>
      </c>
      <c r="P45" s="40">
        <v>0.07849993524126275</v>
      </c>
      <c r="Q45" s="40">
        <v>0.0830337341962611</v>
      </c>
      <c r="R45" s="40">
        <v>0.08165303497863449</v>
      </c>
      <c r="S45" s="40">
        <v>0.084978054404669</v>
      </c>
      <c r="T45" s="40">
        <v>0.07928826939839922</v>
      </c>
      <c r="U45" s="40">
        <v>0.07990781992487057</v>
      </c>
      <c r="V45" s="40">
        <v>0.07770047784591007</v>
      </c>
      <c r="W45" s="40">
        <v>0.0821671090409214</v>
      </c>
      <c r="X45" s="31">
        <v>0.072541512161954</v>
      </c>
      <c r="Y45" s="31">
        <v>0.07137853707134613</v>
      </c>
      <c r="Z45" s="31">
        <v>0.06377428051857605</v>
      </c>
      <c r="AA45" s="31">
        <v>0.0609155692246596</v>
      </c>
      <c r="AB45" s="31">
        <v>0.059776330082282975</v>
      </c>
      <c r="AC45" s="31">
        <v>0.057300012967531</v>
      </c>
      <c r="AD45" s="31">
        <v>0.05639940777801109</v>
      </c>
      <c r="AE45" s="31">
        <v>0.05583502582559316</v>
      </c>
      <c r="AF45" s="31">
        <v>0.05343293197946711</v>
      </c>
      <c r="AG45" s="31">
        <v>0.05325593968356273</v>
      </c>
      <c r="AH45" s="31">
        <v>0.057918439044963174</v>
      </c>
      <c r="AI45" s="31">
        <v>0.055156084131694406</v>
      </c>
      <c r="AJ45" s="31">
        <v>0.04829780031609376</v>
      </c>
      <c r="AK45" s="31">
        <v>0.04915435894520377</v>
      </c>
      <c r="AL45" s="31">
        <v>0.04307961205649899</v>
      </c>
      <c r="AM45" s="31">
        <v>0.03952090618617404</v>
      </c>
      <c r="AN45" s="31">
        <v>0.03712302954796149</v>
      </c>
      <c r="AO45" s="31">
        <v>0.03609206650416568</v>
      </c>
      <c r="AP45" s="31">
        <v>0.03752327609448272</v>
      </c>
      <c r="AQ45" s="31">
        <v>0.034239091852782184</v>
      </c>
      <c r="AR45" s="31">
        <v>0.03229599130810989</v>
      </c>
      <c r="AS45" s="31">
        <v>0.030740699451288413</v>
      </c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40">J46</f>
        <v>0.01683426041</v>
      </c>
      <c r="G46" s="55">
        <f t="shared" si="40"/>
        <v>0.01985005468</v>
      </c>
      <c r="H46" s="32">
        <f t="shared" si="35"/>
        <v>-0.1519287637</v>
      </c>
      <c r="I46" s="30"/>
      <c r="J46" s="40">
        <v>0.016834260413146784</v>
      </c>
      <c r="K46" s="40">
        <v>0.01985005468023277</v>
      </c>
      <c r="L46" s="40">
        <v>0.021410039385403094</v>
      </c>
      <c r="M46" s="40">
        <v>0.020197128631010544</v>
      </c>
      <c r="N46" s="40">
        <v>0.01840576303722715</v>
      </c>
      <c r="O46" s="40">
        <v>0.01771984007961627</v>
      </c>
      <c r="P46" s="40">
        <v>0.015330077772239202</v>
      </c>
      <c r="Q46" s="40">
        <v>0.017130552766149235</v>
      </c>
      <c r="R46" s="40">
        <v>0.01660015538730823</v>
      </c>
      <c r="S46" s="40">
        <v>0.015113653782868886</v>
      </c>
      <c r="T46" s="40">
        <v>0.013041183835900636</v>
      </c>
      <c r="U46" s="40">
        <v>0.011718058375573253</v>
      </c>
      <c r="V46" s="40">
        <v>0.013337496100244175</v>
      </c>
      <c r="W46" s="40">
        <v>0.013953163227102584</v>
      </c>
      <c r="X46" s="31">
        <v>0.014250763339959902</v>
      </c>
      <c r="Y46" s="31">
        <v>0.012719397214458462</v>
      </c>
      <c r="Z46" s="31">
        <v>0.012052316580827489</v>
      </c>
      <c r="AA46" s="31">
        <v>0.010692740284231271</v>
      </c>
      <c r="AB46" s="31">
        <v>0.010952786674984477</v>
      </c>
      <c r="AC46" s="31">
        <v>0.011060929420220153</v>
      </c>
      <c r="AD46" s="31">
        <v>0.009216469921376926</v>
      </c>
      <c r="AE46" s="31">
        <v>0.0062888444309544145</v>
      </c>
      <c r="AF46" s="31">
        <v>0.0017873939418711288</v>
      </c>
      <c r="AG46" s="31">
        <v>3.9970831143159956E-4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>
        <v>0.0</v>
      </c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1">J47</f>
        <v>0.008514627336</v>
      </c>
      <c r="G47" s="55">
        <f t="shared" si="41"/>
        <v>0.009580570435</v>
      </c>
      <c r="H47" s="32">
        <f t="shared" si="35"/>
        <v>-0.1112609219</v>
      </c>
      <c r="I47" s="30"/>
      <c r="J47" s="40">
        <v>0.008514627335834659</v>
      </c>
      <c r="K47" s="40">
        <v>0.009580570435261187</v>
      </c>
      <c r="L47" s="40">
        <v>0.01085144601434222</v>
      </c>
      <c r="M47" s="40">
        <v>0.011384150836834642</v>
      </c>
      <c r="N47" s="40">
        <v>0.011274086855522369</v>
      </c>
      <c r="O47" s="40">
        <v>0.010197798977071005</v>
      </c>
      <c r="P47" s="40">
        <v>0.008478048694129527</v>
      </c>
      <c r="Q47" s="40">
        <v>0.0027310006445610954</v>
      </c>
      <c r="R47" s="40">
        <v>0.0014858660165908185</v>
      </c>
      <c r="S47" s="40">
        <v>0.0010289212807532977</v>
      </c>
      <c r="T47" s="40">
        <v>8.794681746815692E-4</v>
      </c>
      <c r="U47" s="40">
        <v>7.599713178732363E-4</v>
      </c>
      <c r="V47" s="40">
        <v>0.0011091961581627466</v>
      </c>
      <c r="W47" s="40">
        <v>9.5403510586943E-4</v>
      </c>
      <c r="X47" s="31">
        <v>1.7678497322676424E-4</v>
      </c>
      <c r="Y47" s="31">
        <v>1.64172896965513E-4</v>
      </c>
      <c r="Z47" s="31">
        <v>8.255461772491287E-5</v>
      </c>
      <c r="AA47" s="31">
        <v>3.5439166938370193E-6</v>
      </c>
      <c r="AB47" s="31">
        <v>0.0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2">J48</f>
        <v>0.0171507145</v>
      </c>
      <c r="G48" s="55">
        <f t="shared" si="42"/>
        <v>0.01467009203</v>
      </c>
      <c r="H48" s="32">
        <f t="shared" si="35"/>
        <v>0.1690938588</v>
      </c>
      <c r="I48" s="30"/>
      <c r="J48" s="40">
        <v>0.01715071450067487</v>
      </c>
      <c r="K48" s="40">
        <v>0.014670092030138013</v>
      </c>
      <c r="L48" s="40">
        <v>0.01046472521908544</v>
      </c>
      <c r="M48" s="40">
        <v>0.008096317759652949</v>
      </c>
      <c r="N48" s="40">
        <v>0.006125462080249943</v>
      </c>
      <c r="O48" s="40">
        <v>0.007553108337409571</v>
      </c>
      <c r="P48" s="40">
        <v>0.005673043620034493</v>
      </c>
      <c r="Q48" s="40">
        <v>0.003955837413791026</v>
      </c>
      <c r="R48" s="40">
        <v>0.004318643599177183</v>
      </c>
      <c r="S48" s="40">
        <v>0.004778491132864655</v>
      </c>
      <c r="T48" s="40">
        <v>0.004672037708077636</v>
      </c>
      <c r="U48" s="40">
        <v>0.004665477804026752</v>
      </c>
      <c r="V48" s="40">
        <v>0.005887332592091313</v>
      </c>
      <c r="W48" s="40">
        <v>0.007781892221703746</v>
      </c>
      <c r="X48" s="31">
        <v>0.0036099518632089177</v>
      </c>
      <c r="Y48" s="31">
        <v>2.5794872222308605E-4</v>
      </c>
      <c r="Z48" s="31">
        <v>1.813205161604797E-8</v>
      </c>
      <c r="AA48" s="31">
        <v>2.069381315971086E-8</v>
      </c>
      <c r="AB48" s="31">
        <v>2.3765299977276347E-16</v>
      </c>
      <c r="AC48" s="31">
        <v>-1.497588511462146E-16</v>
      </c>
      <c r="AD48" s="31">
        <v>3.1589572317750993E-16</v>
      </c>
      <c r="AE48" s="31">
        <v>4.8917210757662497E-17</v>
      </c>
      <c r="AF48" s="31">
        <v>-1.0612206615032287E-16</v>
      </c>
      <c r="AG48" s="31">
        <v>-3.868090697190012E-4</v>
      </c>
      <c r="AH48" s="31">
        <v>4.285745294779846E-6</v>
      </c>
      <c r="AI48" s="31">
        <v>0.0012787997780755096</v>
      </c>
      <c r="AJ48" s="31">
        <v>7.598860749409598E-7</v>
      </c>
      <c r="AK48" s="31">
        <v>1.2697736460634434E-6</v>
      </c>
      <c r="AL48" s="31">
        <v>-1.4680250879518374E-16</v>
      </c>
      <c r="AM48" s="31">
        <v>-4.407389704358686E-17</v>
      </c>
      <c r="AN48" s="31">
        <v>-1.087517198389695E-16</v>
      </c>
      <c r="AO48" s="31">
        <v>-1.3692924210216036E-16</v>
      </c>
      <c r="AP48" s="31">
        <v>-2.28804100994293E-16</v>
      </c>
      <c r="AQ48" s="31">
        <v>1.4582382218488756E-16</v>
      </c>
      <c r="AR48" s="31">
        <v>4.566256253804097E-16</v>
      </c>
      <c r="AS48" s="31">
        <v>-2.1799358784474453E-16</v>
      </c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>
        <f t="shared" ref="F51:G51" si="43">J51</f>
        <v>1</v>
      </c>
      <c r="G51" s="55">
        <f t="shared" si="43"/>
        <v>1</v>
      </c>
      <c r="H51" s="32">
        <f t="shared" ref="H51:H57" si="45">IFERROR(F51/G51-1,"-")</f>
        <v>0</v>
      </c>
      <c r="J51" s="58">
        <v>1.0</v>
      </c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  <c r="AD51" s="59">
        <v>1.0</v>
      </c>
    </row>
    <row r="52">
      <c r="C52" s="60" t="s">
        <v>44</v>
      </c>
      <c r="D52" s="39" t="s">
        <v>10</v>
      </c>
      <c r="F52" s="55">
        <f t="shared" ref="F52:G52" si="44">J52</f>
        <v>0.2604045033</v>
      </c>
      <c r="G52" s="55">
        <f t="shared" si="44"/>
        <v>0.261162495</v>
      </c>
      <c r="H52" s="32">
        <f t="shared" si="45"/>
        <v>-0.002902375645</v>
      </c>
      <c r="J52" s="58">
        <v>0.260404503288597</v>
      </c>
      <c r="K52" s="58">
        <v>0.261162494953348</v>
      </c>
      <c r="L52" s="58">
        <v>0.270678644094681</v>
      </c>
      <c r="M52" s="58">
        <v>0.263844603352423</v>
      </c>
      <c r="N52" s="58">
        <v>0.265358935818872</v>
      </c>
      <c r="O52" s="58">
        <v>0.265808780570225</v>
      </c>
      <c r="P52" s="58">
        <v>0.263837889169021</v>
      </c>
      <c r="Q52" s="58">
        <v>0.2573126408675</v>
      </c>
      <c r="R52" s="58">
        <v>0.249904959936298</v>
      </c>
      <c r="S52" s="58">
        <v>0.23718071983221</v>
      </c>
      <c r="T52" s="58">
        <v>0.223730162867709</v>
      </c>
      <c r="U52" s="58">
        <v>0.22742284791885</v>
      </c>
      <c r="V52" s="58">
        <v>0.229476126088745</v>
      </c>
      <c r="W52" s="58">
        <v>0.235433995464751</v>
      </c>
      <c r="X52" s="31">
        <v>0.263474492807545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  <c r="AD52" s="59">
        <v>0.0</v>
      </c>
    </row>
    <row r="53">
      <c r="C53" s="60" t="s">
        <v>45</v>
      </c>
      <c r="D53" s="39" t="s">
        <v>10</v>
      </c>
      <c r="F53" s="55">
        <f t="shared" ref="F53:G53" si="46">J53</f>
        <v>0.001598650262</v>
      </c>
      <c r="G53" s="55">
        <f t="shared" si="46"/>
        <v>0.001333966057</v>
      </c>
      <c r="H53" s="32">
        <f t="shared" si="45"/>
        <v>0.1984189953</v>
      </c>
      <c r="J53" s="58">
        <v>0.00159865026174358</v>
      </c>
      <c r="K53" s="58">
        <v>0.00133396605701013</v>
      </c>
      <c r="L53" s="58">
        <v>0.00163837555619224</v>
      </c>
      <c r="M53" s="58">
        <v>0.00161081636068286</v>
      </c>
      <c r="N53" s="58">
        <v>0.00196184140667365</v>
      </c>
      <c r="O53" s="58">
        <v>0.00236659138365314</v>
      </c>
      <c r="P53" s="58">
        <v>0.00278554191235443</v>
      </c>
      <c r="Q53" s="58">
        <v>0.00336963430306805</v>
      </c>
      <c r="R53" s="58">
        <v>0.00329479034038942</v>
      </c>
      <c r="S53" s="58">
        <v>0.00379155724027967</v>
      </c>
      <c r="T53" s="58">
        <v>0.00528026111053773</v>
      </c>
      <c r="U53" s="58">
        <v>0.0078352766775774</v>
      </c>
      <c r="V53" s="58">
        <v>0.00696658591113819</v>
      </c>
      <c r="W53" s="58">
        <v>0.00609446012236706</v>
      </c>
      <c r="X53" s="31">
        <v>0.00686897545689704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  <c r="AD53" s="59">
        <v>0.0</v>
      </c>
    </row>
    <row r="54">
      <c r="C54" s="60" t="s">
        <v>46</v>
      </c>
      <c r="D54" s="39" t="s">
        <v>10</v>
      </c>
      <c r="F54" s="55">
        <f t="shared" ref="F54:G54" si="47">J54</f>
        <v>0.00418072354</v>
      </c>
      <c r="G54" s="55">
        <f t="shared" si="47"/>
        <v>0.004856462638</v>
      </c>
      <c r="H54" s="32">
        <f t="shared" si="45"/>
        <v>-0.1391422416</v>
      </c>
      <c r="J54" s="58">
        <v>0.00418072353992626</v>
      </c>
      <c r="K54" s="58">
        <v>0.00485646263777438</v>
      </c>
      <c r="L54" s="58">
        <v>0.00537622314450992</v>
      </c>
      <c r="M54" s="58">
        <v>0.00588429923944292</v>
      </c>
      <c r="N54" s="58">
        <v>0.00649492712402568</v>
      </c>
      <c r="O54" s="58">
        <v>0.00856842826965798</v>
      </c>
      <c r="P54" s="58">
        <v>0.0116617956752218</v>
      </c>
      <c r="Q54" s="58">
        <v>0.0146978367039174</v>
      </c>
      <c r="R54" s="58">
        <v>0.0145916766192431</v>
      </c>
      <c r="S54" s="58">
        <v>0.0179013756540437</v>
      </c>
      <c r="T54" s="58">
        <v>0.023976124130489</v>
      </c>
      <c r="U54" s="58">
        <v>0.0265724184561183</v>
      </c>
      <c r="V54" s="58">
        <v>0.0222598880672357</v>
      </c>
      <c r="W54" s="58">
        <v>0.019942659269762</v>
      </c>
      <c r="X54" s="31">
        <v>0.0280408293072352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  <c r="AD54" s="59">
        <v>0.0</v>
      </c>
    </row>
    <row r="55">
      <c r="C55" s="60" t="s">
        <v>47</v>
      </c>
      <c r="D55" s="39" t="s">
        <v>10</v>
      </c>
      <c r="F55" s="55">
        <f t="shared" ref="F55:G55" si="48">J55</f>
        <v>0.1814046045</v>
      </c>
      <c r="G55" s="55">
        <f t="shared" si="48"/>
        <v>0.1817804448</v>
      </c>
      <c r="H55" s="32">
        <f t="shared" si="45"/>
        <v>-0.002067551124</v>
      </c>
      <c r="J55" s="58">
        <v>0.181404604483715</v>
      </c>
      <c r="K55" s="58">
        <v>0.181780444846796</v>
      </c>
      <c r="L55" s="58">
        <v>0.195167527233627</v>
      </c>
      <c r="M55" s="58">
        <v>0.197048297652503</v>
      </c>
      <c r="N55" s="58">
        <v>0.198564221139304</v>
      </c>
      <c r="O55" s="58">
        <v>0.192460845924571</v>
      </c>
      <c r="P55" s="58">
        <v>0.184257835570992</v>
      </c>
      <c r="Q55" s="58">
        <v>0.178517339333974</v>
      </c>
      <c r="R55" s="58">
        <v>0.181278439268033</v>
      </c>
      <c r="S55" s="58">
        <v>0.158011636834321</v>
      </c>
      <c r="T55" s="58">
        <v>0.150542855769585</v>
      </c>
      <c r="U55" s="58">
        <v>0.154022836464902</v>
      </c>
      <c r="V55" s="58">
        <v>0.15945683635894</v>
      </c>
      <c r="W55" s="58">
        <v>0.163085423974891</v>
      </c>
      <c r="X55" s="31">
        <v>0.152003149937509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  <c r="AD55" s="59">
        <v>0.0</v>
      </c>
    </row>
    <row r="56">
      <c r="C56" s="60" t="s">
        <v>48</v>
      </c>
      <c r="D56" s="39" t="s">
        <v>10</v>
      </c>
      <c r="F56" s="55">
        <f t="shared" ref="F56:G56" si="49">J56</f>
        <v>0.073220525</v>
      </c>
      <c r="G56" s="55">
        <f t="shared" si="49"/>
        <v>0.06634620101</v>
      </c>
      <c r="H56" s="32">
        <f t="shared" si="45"/>
        <v>0.1036129257</v>
      </c>
      <c r="J56" s="58">
        <v>0.073220525003212</v>
      </c>
      <c r="K56" s="58">
        <v>0.0663462010068441</v>
      </c>
      <c r="L56" s="58">
        <v>0.0684965181603518</v>
      </c>
      <c r="M56" s="58">
        <v>0.0593011900997935</v>
      </c>
      <c r="N56" s="58">
        <v>0.0583379461488686</v>
      </c>
      <c r="O56" s="58">
        <v>0.0624129149923433</v>
      </c>
      <c r="P56" s="58">
        <v>0.0651327160104529</v>
      </c>
      <c r="Q56" s="58">
        <v>0.0607278305265402</v>
      </c>
      <c r="R56" s="58">
        <v>0.0507400537086326</v>
      </c>
      <c r="S56" s="58">
        <v>0.0574761501035656</v>
      </c>
      <c r="T56" s="58">
        <v>0.0439309218570971</v>
      </c>
      <c r="U56" s="58">
        <v>0.0389923163202515</v>
      </c>
      <c r="V56" s="58">
        <v>0.0407928157514309</v>
      </c>
      <c r="W56" s="58">
        <v>0.0463114520977314</v>
      </c>
      <c r="X56" s="31">
        <v>0.0765615381059028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  <c r="AD56" s="59">
        <v>0.0</v>
      </c>
    </row>
    <row r="57">
      <c r="C57" s="60" t="s">
        <v>49</v>
      </c>
      <c r="D57" s="39" t="s">
        <v>10</v>
      </c>
      <c r="F57" s="55">
        <f t="shared" ref="F57:G57" si="50">J57</f>
        <v>0.7395954967</v>
      </c>
      <c r="G57" s="55">
        <f t="shared" si="50"/>
        <v>0.738837505</v>
      </c>
      <c r="H57" s="32">
        <f t="shared" si="45"/>
        <v>0.001025924726</v>
      </c>
      <c r="J57" s="58">
        <v>0.739595496711402</v>
      </c>
      <c r="K57" s="58">
        <v>0.738837505046651</v>
      </c>
      <c r="L57" s="58">
        <v>0.729321355905318</v>
      </c>
      <c r="M57" s="58">
        <v>0.736155396647577</v>
      </c>
      <c r="N57" s="58">
        <v>0.734641064181128</v>
      </c>
      <c r="O57" s="58">
        <v>0.734191219429774</v>
      </c>
      <c r="P57" s="58">
        <v>0.736162110830978</v>
      </c>
      <c r="Q57" s="58">
        <v>0.7426873591325</v>
      </c>
      <c r="R57" s="58">
        <v>0.750095040063701</v>
      </c>
      <c r="S57" s="58">
        <v>0.762819280167789</v>
      </c>
      <c r="T57" s="58">
        <v>0.77626983713229</v>
      </c>
      <c r="U57" s="58">
        <v>0.772577152081149</v>
      </c>
      <c r="V57" s="58">
        <v>0.770523873911254</v>
      </c>
      <c r="W57" s="58">
        <v>0.764566004535248</v>
      </c>
      <c r="X57" s="31">
        <v>0.736525507192455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  <c r="AD57" s="59">
        <v>1.0</v>
      </c>
    </row>
    <row r="58">
      <c r="D58" s="3"/>
      <c r="F58" s="4"/>
      <c r="G58" s="4"/>
      <c r="H58" s="5"/>
    </row>
    <row r="59">
      <c r="D59" s="3"/>
      <c r="F59" s="4"/>
      <c r="G59" s="4"/>
      <c r="H59" s="5"/>
    </row>
    <row r="60">
      <c r="C60" s="28" t="s">
        <v>37</v>
      </c>
      <c r="D60" s="79"/>
      <c r="E60" s="80"/>
      <c r="F60" s="81">
        <f t="shared" ref="F60:G60" si="51">F3</f>
        <v>45992</v>
      </c>
      <c r="G60" s="81">
        <f t="shared" si="51"/>
        <v>45962</v>
      </c>
      <c r="H60" s="82" t="s">
        <v>58</v>
      </c>
      <c r="K60" s="83">
        <v>45474.0</v>
      </c>
      <c r="L60" s="84">
        <v>45444.0</v>
      </c>
      <c r="M60" s="82" t="s">
        <v>58</v>
      </c>
    </row>
    <row r="61">
      <c r="C61" s="38" t="s">
        <v>59</v>
      </c>
      <c r="D61" s="85"/>
      <c r="E61" s="86"/>
      <c r="F61" s="87">
        <f t="shared" ref="F61:G61" si="52">F$14*F52</f>
        <v>342325.0768</v>
      </c>
      <c r="G61" s="87">
        <f t="shared" si="52"/>
        <v>331340.6133</v>
      </c>
      <c r="H61" s="88">
        <f t="shared" ref="H61:H66" si="55">F61/G61-1</f>
        <v>0.03315157589</v>
      </c>
      <c r="K61" s="87">
        <f t="shared" ref="K61:L61" si="53">K$14*K52</f>
        <v>331340.6133</v>
      </c>
      <c r="L61" s="87">
        <f t="shared" si="53"/>
        <v>292961.3583</v>
      </c>
      <c r="M61" s="88">
        <f t="shared" ref="M61:M66" si="57">K61/L61-1</f>
        <v>0.1310044958</v>
      </c>
    </row>
    <row r="62">
      <c r="C62" s="38" t="s">
        <v>60</v>
      </c>
      <c r="D62" s="85"/>
      <c r="E62" s="86"/>
      <c r="F62" s="87">
        <f t="shared" ref="F62:G62" si="54">F$14*F53</f>
        <v>2101.569162</v>
      </c>
      <c r="G62" s="87">
        <f t="shared" si="54"/>
        <v>1692.421921</v>
      </c>
      <c r="H62" s="88">
        <f t="shared" si="55"/>
        <v>0.2417525058</v>
      </c>
      <c r="K62" s="87">
        <f t="shared" ref="K62:L62" si="56">K$14*K53</f>
        <v>1692.421921</v>
      </c>
      <c r="L62" s="87">
        <f t="shared" si="56"/>
        <v>1773.249345</v>
      </c>
      <c r="M62" s="88">
        <f t="shared" si="57"/>
        <v>-0.04558153308</v>
      </c>
    </row>
    <row r="63">
      <c r="C63" s="38" t="s">
        <v>61</v>
      </c>
      <c r="D63" s="85"/>
      <c r="E63" s="86"/>
      <c r="F63" s="87">
        <f t="shared" ref="F63:G63" si="58">F$14*F54</f>
        <v>5495.936087</v>
      </c>
      <c r="G63" s="87">
        <f t="shared" si="58"/>
        <v>6161.463993</v>
      </c>
      <c r="H63" s="88">
        <f t="shared" si="55"/>
        <v>-0.1080145735</v>
      </c>
      <c r="K63" s="87">
        <f t="shared" ref="K63:L63" si="59">K$14*K54</f>
        <v>6161.463993</v>
      </c>
      <c r="L63" s="87">
        <f t="shared" si="59"/>
        <v>5818.802736</v>
      </c>
      <c r="M63" s="88">
        <f t="shared" si="57"/>
        <v>0.05888861889</v>
      </c>
    </row>
    <row r="64">
      <c r="C64" s="38" t="s">
        <v>62</v>
      </c>
      <c r="D64" s="85"/>
      <c r="E64" s="86"/>
      <c r="F64" s="87">
        <f t="shared" ref="F64:G64" si="60">F$14*F55</f>
        <v>238472.6239</v>
      </c>
      <c r="G64" s="87">
        <f t="shared" si="60"/>
        <v>230627.4647</v>
      </c>
      <c r="H64" s="88">
        <f t="shared" si="55"/>
        <v>0.03401658675</v>
      </c>
      <c r="K64" s="87">
        <f t="shared" ref="K64:L64" si="61">K$14*K55</f>
        <v>230627.4647</v>
      </c>
      <c r="L64" s="87">
        <f t="shared" si="61"/>
        <v>211234.0413</v>
      </c>
      <c r="M64" s="88">
        <f t="shared" si="57"/>
        <v>0.09181012364</v>
      </c>
    </row>
    <row r="65">
      <c r="C65" s="38" t="s">
        <v>63</v>
      </c>
      <c r="D65" s="85"/>
      <c r="E65" s="86"/>
      <c r="F65" s="87">
        <f t="shared" ref="F65:G65" si="62">F$14*F56</f>
        <v>96254.94771</v>
      </c>
      <c r="G65" s="87">
        <f t="shared" si="62"/>
        <v>84174.37939</v>
      </c>
      <c r="H65" s="88">
        <f t="shared" si="55"/>
        <v>0.1435183532</v>
      </c>
      <c r="K65" s="87">
        <f t="shared" ref="K65:L65" si="63">K$14*K56</f>
        <v>84174.37939</v>
      </c>
      <c r="L65" s="87">
        <f t="shared" si="63"/>
        <v>74135.26496</v>
      </c>
      <c r="M65" s="88">
        <f t="shared" si="57"/>
        <v>0.1354161807</v>
      </c>
    </row>
    <row r="66">
      <c r="C66" s="38" t="s">
        <v>64</v>
      </c>
      <c r="D66" s="85"/>
      <c r="E66" s="86"/>
      <c r="F66" s="87">
        <f t="shared" ref="F66:G66" si="64">F$14*F57</f>
        <v>972264.6192</v>
      </c>
      <c r="G66" s="87">
        <f t="shared" si="64"/>
        <v>937373.7684</v>
      </c>
      <c r="H66" s="88">
        <f t="shared" si="55"/>
        <v>0.03722191928</v>
      </c>
      <c r="K66" s="87">
        <f t="shared" ref="K66:L66" si="65">K$14*K57</f>
        <v>937373.7684</v>
      </c>
      <c r="L66" s="87">
        <f t="shared" si="65"/>
        <v>789360.2976</v>
      </c>
      <c r="M66" s="88">
        <f t="shared" si="57"/>
        <v>0.1875106606</v>
      </c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3"/>
    </customSheetView>
  </customSheetViews>
  <mergeCells count="1">
    <mergeCell ref="C1:C2"/>
  </mergeCells>
  <conditionalFormatting sqref="H6 H8:H12 H14:H16 H18:H19 H21:H22 H2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66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</row>
    <row r="3" ht="44.25" customHeight="1">
      <c r="C3" s="2" t="s">
        <v>2</v>
      </c>
      <c r="D3" s="3"/>
      <c r="E3" s="10"/>
      <c r="F3" s="11">
        <f t="shared" ref="F3:G3" si="1">J3</f>
        <v>45992</v>
      </c>
      <c r="G3" s="11">
        <f t="shared" si="1"/>
        <v>45962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2">J6</f>
        <v>11638847.33</v>
      </c>
      <c r="G6" s="31">
        <f t="shared" si="2"/>
        <v>11755320.73</v>
      </c>
      <c r="H6" s="32">
        <f>IFERROR(F6/G6-1,"-")</f>
        <v>-0.009908143099</v>
      </c>
      <c r="I6" s="30"/>
      <c r="J6" s="31">
        <v>1.1638847333333334E7</v>
      </c>
      <c r="K6" s="31">
        <v>1.1755320733333332E7</v>
      </c>
      <c r="L6" s="31">
        <v>1.1759391774193548E7</v>
      </c>
      <c r="M6" s="31">
        <v>1.1636471866666667E7</v>
      </c>
      <c r="N6" s="31">
        <v>1.1546617451612903E7</v>
      </c>
      <c r="O6" s="31">
        <v>1.1180320322580645E7</v>
      </c>
      <c r="P6" s="31">
        <v>1.1261580233333332E7</v>
      </c>
      <c r="Q6" s="31">
        <v>1.113102958064516E7</v>
      </c>
      <c r="R6" s="31">
        <v>1.06453503E7</v>
      </c>
      <c r="S6" s="31">
        <v>1.0634177548387097E7</v>
      </c>
      <c r="T6" s="31">
        <v>1.0887512107142856E7</v>
      </c>
      <c r="U6" s="31">
        <v>1.0619812161290323E7</v>
      </c>
      <c r="V6" s="31">
        <v>1.0605710612903226E7</v>
      </c>
      <c r="W6" s="31">
        <v>1.04379816E7</v>
      </c>
      <c r="X6" s="31">
        <v>1.0502001483870968E7</v>
      </c>
      <c r="Y6" s="31">
        <v>1.05636579E7</v>
      </c>
      <c r="Z6" s="31">
        <v>1.0502528032258065E7</v>
      </c>
      <c r="AA6" s="31">
        <v>1.0411067129032258E7</v>
      </c>
      <c r="AB6" s="31">
        <v>1.0165245233333332E7</v>
      </c>
      <c r="AC6" s="31">
        <v>9948651.677419355</v>
      </c>
      <c r="AD6" s="31">
        <v>9611226.933333334</v>
      </c>
      <c r="AE6" s="31">
        <v>9787212.903225806</v>
      </c>
      <c r="AF6" s="31">
        <v>9986886.310344828</v>
      </c>
      <c r="AG6" s="31">
        <v>1.0059845774193548E7</v>
      </c>
      <c r="AH6" s="31">
        <v>9737733.193548387</v>
      </c>
      <c r="AI6" s="31">
        <v>9549462.566666666</v>
      </c>
      <c r="AJ6" s="31">
        <v>9011703.548387097</v>
      </c>
      <c r="AK6" s="31">
        <v>8843657.466666667</v>
      </c>
      <c r="AL6" s="31">
        <v>8465502.483870968</v>
      </c>
      <c r="AM6" s="31">
        <v>7622856.612903226</v>
      </c>
      <c r="AN6" s="31">
        <v>7460909.766666667</v>
      </c>
      <c r="AO6" s="31">
        <v>7759357.516129033</v>
      </c>
      <c r="AP6" s="31">
        <v>7441929.066666666</v>
      </c>
      <c r="AQ6" s="31">
        <v>7746943.0322580645</v>
      </c>
      <c r="AR6" s="31">
        <v>7926218.928571428</v>
      </c>
      <c r="AS6" s="31">
        <v>7688449.322580645</v>
      </c>
      <c r="AT6" s="31">
        <v>7935591.0322580645</v>
      </c>
      <c r="AU6" s="31">
        <v>8052940.866666666</v>
      </c>
      <c r="AV6" s="31">
        <v>8015857.322580645</v>
      </c>
      <c r="AW6" s="31">
        <v>7940276.0</v>
      </c>
      <c r="AX6" s="31">
        <v>7627959.677419355</v>
      </c>
      <c r="AY6" s="33">
        <v>7577341.0322580645</v>
      </c>
      <c r="AZ6" s="33">
        <v>7397616.3</v>
      </c>
      <c r="BA6" s="33">
        <v>7328464.322580645</v>
      </c>
      <c r="BB6" s="33">
        <v>7145529.633333334</v>
      </c>
      <c r="BC6" s="33">
        <v>7131948.0322580645</v>
      </c>
      <c r="BD6" s="33">
        <v>7090740.071428572</v>
      </c>
      <c r="BE6" s="33">
        <v>7037701.29032258</v>
      </c>
    </row>
    <row r="7">
      <c r="D7" s="3"/>
      <c r="F7" s="4"/>
      <c r="G7" s="4"/>
      <c r="H7" s="5"/>
      <c r="L7" s="35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3">J8</f>
        <v>2103734.889</v>
      </c>
      <c r="G8" s="31">
        <f t="shared" si="3"/>
        <v>2097625.4</v>
      </c>
      <c r="H8" s="32">
        <f t="shared" ref="H8:H12" si="5">IFERROR(F8/G8-1,"-")</f>
        <v>0.002912573851</v>
      </c>
      <c r="I8" s="30"/>
      <c r="J8" s="31">
        <v>2103734.888888889</v>
      </c>
      <c r="K8" s="31">
        <v>2097625.4</v>
      </c>
      <c r="L8" s="31">
        <v>2066782.3870967743</v>
      </c>
      <c r="M8" s="31">
        <v>2005382.5666666667</v>
      </c>
      <c r="N8" s="31">
        <v>1942171.4838709678</v>
      </c>
      <c r="O8" s="31">
        <v>1877401.1935483871</v>
      </c>
      <c r="P8" s="31">
        <v>1941076.6333333333</v>
      </c>
      <c r="Q8" s="31">
        <v>1889270.5483870967</v>
      </c>
      <c r="R8" s="31">
        <v>1767614.2</v>
      </c>
      <c r="S8" s="31">
        <v>1811732.9677419355</v>
      </c>
      <c r="T8" s="31">
        <v>1818485.857142857</v>
      </c>
      <c r="U8" s="31">
        <v>1793779.7419354839</v>
      </c>
      <c r="V8" s="31">
        <v>1789750.064516129</v>
      </c>
      <c r="W8" s="31">
        <v>1752997.9333333333</v>
      </c>
      <c r="X8" s="31">
        <v>1684394.8387096773</v>
      </c>
      <c r="Y8" s="31">
        <v>1671703.3</v>
      </c>
      <c r="Z8" s="31">
        <v>1623709.064516129</v>
      </c>
      <c r="AA8" s="31">
        <v>1596802.8064516129</v>
      </c>
      <c r="AB8" s="31">
        <v>1635013.2666666666</v>
      </c>
      <c r="AC8" s="31">
        <v>1628544.1612903227</v>
      </c>
      <c r="AD8" s="31">
        <v>1484142.0</v>
      </c>
      <c r="AE8" s="31">
        <v>1605227.3548387096</v>
      </c>
      <c r="AF8" s="31">
        <v>1573447.2413793104</v>
      </c>
      <c r="AG8" s="31">
        <v>1531819.4838709678</v>
      </c>
      <c r="AH8" s="31">
        <v>1469371.1612903227</v>
      </c>
      <c r="AI8" s="31">
        <v>1597436.6666666667</v>
      </c>
      <c r="AJ8" s="36">
        <v>1519707.8709677418</v>
      </c>
      <c r="AK8" s="36">
        <v>1476123.5333333334</v>
      </c>
      <c r="AL8" s="36">
        <v>1413761.1290322582</v>
      </c>
      <c r="AM8" s="36">
        <v>1150482.4516129033</v>
      </c>
      <c r="AN8" s="36">
        <v>1015725.7333333333</v>
      </c>
      <c r="AO8" s="36">
        <v>1013379.2903225806</v>
      </c>
      <c r="AP8" s="36">
        <v>934145.4</v>
      </c>
      <c r="AQ8" s="36">
        <v>1000142.8709677419</v>
      </c>
      <c r="AR8" s="36">
        <v>1051424.107142857</v>
      </c>
      <c r="AS8" s="36">
        <v>983409.2580645161</v>
      </c>
      <c r="AT8" s="36">
        <v>1055027.8709677418</v>
      </c>
      <c r="AU8" s="36">
        <v>931553.4333333333</v>
      </c>
      <c r="AV8" s="36">
        <v>915504.4838709678</v>
      </c>
      <c r="AW8" s="36">
        <v>980976.8</v>
      </c>
      <c r="AX8" s="36">
        <v>1038844.3870967742</v>
      </c>
      <c r="AY8" s="37">
        <v>1043612.6129032258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4">J9</f>
        <v>0.180751137</v>
      </c>
      <c r="G9" s="40">
        <f t="shared" si="4"/>
        <v>0.1784405077</v>
      </c>
      <c r="H9" s="32">
        <f t="shared" si="5"/>
        <v>0.01294901767</v>
      </c>
      <c r="I9" s="30"/>
      <c r="J9" s="40">
        <v>0.18075113700167292</v>
      </c>
      <c r="K9" s="40">
        <v>0.17844050771426279</v>
      </c>
      <c r="L9" s="40">
        <v>0.1757558916977671</v>
      </c>
      <c r="M9" s="40">
        <v>0.17233596141895882</v>
      </c>
      <c r="N9" s="40">
        <v>0.16820263527477247</v>
      </c>
      <c r="O9" s="40">
        <v>0.16792016144265934</v>
      </c>
      <c r="P9" s="40">
        <v>0.17236272291413504</v>
      </c>
      <c r="Q9" s="40">
        <v>0.1697300806452078</v>
      </c>
      <c r="R9" s="40">
        <v>0.16604565845052557</v>
      </c>
      <c r="S9" s="40">
        <v>0.17036888461738386</v>
      </c>
      <c r="T9" s="40">
        <v>0.16702492169444497</v>
      </c>
      <c r="U9" s="40">
        <v>0.16890880127559024</v>
      </c>
      <c r="V9" s="40">
        <v>0.1687534319801886</v>
      </c>
      <c r="W9" s="40">
        <v>0.1679441486401292</v>
      </c>
      <c r="X9" s="40">
        <v>0.16038798330933204</v>
      </c>
      <c r="Y9" s="40">
        <v>0.1582504200557271</v>
      </c>
      <c r="Z9" s="40">
        <v>0.15460173584197787</v>
      </c>
      <c r="AA9" s="40">
        <v>0.15337551728955579</v>
      </c>
      <c r="AB9" s="40">
        <v>0.16084346507502031</v>
      </c>
      <c r="AC9" s="40">
        <v>0.16369496230194294</v>
      </c>
      <c r="AD9" s="40">
        <v>0.15441753797870994</v>
      </c>
      <c r="AE9" s="40">
        <v>0.16401271441736354</v>
      </c>
      <c r="AF9" s="40">
        <v>0.15755133206527733</v>
      </c>
      <c r="AG9" s="40">
        <v>0.15227067275728356</v>
      </c>
      <c r="AH9" s="40">
        <v>0.150894580092196</v>
      </c>
      <c r="AI9" s="40">
        <v>0.16728026896955184</v>
      </c>
      <c r="AJ9" s="36">
        <v>0.16863713534382044</v>
      </c>
      <c r="AK9" s="36">
        <v>0.16691324137067814</v>
      </c>
      <c r="AL9" s="36">
        <v>0.1670026240882746</v>
      </c>
      <c r="AM9" s="36">
        <v>0.1509253695872331</v>
      </c>
      <c r="AN9" s="36">
        <v>0.13613966193121943</v>
      </c>
      <c r="AO9" s="36">
        <v>0.13060092774641638</v>
      </c>
      <c r="AP9" s="36">
        <v>0.12552463099710992</v>
      </c>
      <c r="AQ9" s="36">
        <v>0.12910161683171978</v>
      </c>
      <c r="AR9" s="36">
        <v>0.13265140877610848</v>
      </c>
      <c r="AS9" s="36">
        <v>0.12790736035370429</v>
      </c>
      <c r="AT9" s="36">
        <v>0.13294887131646133</v>
      </c>
      <c r="AU9" s="36">
        <v>0.11567866308186725</v>
      </c>
      <c r="AV9" s="36">
        <v>0.11421167406410722</v>
      </c>
      <c r="AW9" s="36">
        <v>0.12354442087403511</v>
      </c>
      <c r="AX9" s="36">
        <v>0.13618902446115574</v>
      </c>
      <c r="AY9" s="37">
        <v>0.1377280774958372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6">J10</f>
        <v>3722316.222</v>
      </c>
      <c r="G10" s="31">
        <f t="shared" si="6"/>
        <v>3732444.767</v>
      </c>
      <c r="H10" s="32">
        <f t="shared" si="5"/>
        <v>-0.002713648849</v>
      </c>
      <c r="I10" s="30"/>
      <c r="J10" s="31">
        <v>3722316.222222271</v>
      </c>
      <c r="K10" s="31">
        <v>3732444.7666667243</v>
      </c>
      <c r="L10" s="31">
        <v>3625844.0000000484</v>
      </c>
      <c r="M10" s="31">
        <v>3511883.4000000465</v>
      </c>
      <c r="N10" s="31">
        <v>3344197.354838742</v>
      </c>
      <c r="O10" s="31">
        <v>3216226.7096774396</v>
      </c>
      <c r="P10" s="31">
        <v>3363187.8000000273</v>
      </c>
      <c r="Q10" s="31">
        <v>3231312.9032258275</v>
      </c>
      <c r="R10" s="31">
        <v>3053393.9333333503</v>
      </c>
      <c r="S10" s="31">
        <v>3111299.1612903383</v>
      </c>
      <c r="T10" s="31">
        <v>3105614.678571443</v>
      </c>
      <c r="U10" s="31">
        <v>3013858.000000022</v>
      </c>
      <c r="V10" s="31">
        <v>3065720.1612903476</v>
      </c>
      <c r="W10" s="31">
        <v>2993154.600000012</v>
      </c>
      <c r="X10" s="31">
        <v>2850833.2903225822</v>
      </c>
      <c r="Y10" s="31">
        <v>2877631.9666666696</v>
      </c>
      <c r="Z10" s="31">
        <v>2766891.0</v>
      </c>
      <c r="AA10" s="31">
        <v>2806742.483870969</v>
      </c>
      <c r="AB10" s="31">
        <v>2841369.800000003</v>
      </c>
      <c r="AC10" s="31">
        <v>2806761.5806451715</v>
      </c>
      <c r="AD10" s="31">
        <v>2517843.533333336</v>
      </c>
      <c r="AE10" s="31">
        <v>2799245.0322580705</v>
      </c>
      <c r="AF10" s="31">
        <v>2680955.3793103453</v>
      </c>
      <c r="AG10" s="31">
        <v>2567056.967741939</v>
      </c>
      <c r="AH10" s="31">
        <v>2555012.48387097</v>
      </c>
      <c r="AI10" s="31">
        <v>2889948.233333344</v>
      </c>
      <c r="AJ10" s="36">
        <v>2738254.0000000056</v>
      </c>
      <c r="AK10" s="36">
        <v>2581735.933333335</v>
      </c>
      <c r="AL10" s="36">
        <v>2590353.2580645187</v>
      </c>
      <c r="AM10" s="36">
        <v>2049147.9677419334</v>
      </c>
      <c r="AN10" s="36">
        <v>1680814.3999999948</v>
      </c>
      <c r="AO10" s="36">
        <v>1662382.709677415</v>
      </c>
      <c r="AP10" s="36">
        <v>1516514.63333333</v>
      </c>
      <c r="AQ10" s="36">
        <v>1624916.8387096734</v>
      </c>
      <c r="AR10" s="36">
        <v>1660735.678571425</v>
      </c>
      <c r="AS10" s="36">
        <v>1540172.032258058</v>
      </c>
      <c r="AT10" s="36">
        <v>1730691.3225806365</v>
      </c>
      <c r="AU10" s="36">
        <v>1499471.6333333266</v>
      </c>
      <c r="AV10" s="36">
        <v>1470070.3225806416</v>
      </c>
      <c r="AW10" s="36">
        <v>1595355.4333333278</v>
      </c>
      <c r="AX10" s="36">
        <v>1681728.7419354783</v>
      </c>
      <c r="AY10" s="37">
        <v>1739647.161290318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7">J11</f>
        <v>0.3198182875</v>
      </c>
      <c r="G11" s="41">
        <f t="shared" si="7"/>
        <v>0.3175110957</v>
      </c>
      <c r="H11" s="32">
        <f t="shared" si="5"/>
        <v>0.00726649169</v>
      </c>
      <c r="I11" s="30"/>
      <c r="J11" s="41">
        <v>0.3198182874657752</v>
      </c>
      <c r="K11" s="41">
        <v>0.3175110957273179</v>
      </c>
      <c r="L11" s="41">
        <v>0.30833601512938</v>
      </c>
      <c r="M11" s="41">
        <v>0.3017996726361738</v>
      </c>
      <c r="N11" s="41">
        <v>0.2896257166960705</v>
      </c>
      <c r="O11" s="41">
        <v>0.2876685655581529</v>
      </c>
      <c r="P11" s="41">
        <v>0.2986426176714768</v>
      </c>
      <c r="Q11" s="41">
        <v>0.29029775546050957</v>
      </c>
      <c r="R11" s="41">
        <v>0.28682888277836666</v>
      </c>
      <c r="S11" s="41">
        <v>0.2925754386865803</v>
      </c>
      <c r="T11" s="41">
        <v>0.28524557750286905</v>
      </c>
      <c r="U11" s="41">
        <v>0.28379579169824354</v>
      </c>
      <c r="V11" s="41">
        <v>0.28906315410496874</v>
      </c>
      <c r="W11" s="41">
        <v>0.28675607169110284</v>
      </c>
      <c r="X11" s="41">
        <v>0.27145618810861033</v>
      </c>
      <c r="Y11" s="41">
        <v>0.27240866695112015</v>
      </c>
      <c r="Z11" s="41">
        <v>0.2634499990384803</v>
      </c>
      <c r="AA11" s="41">
        <v>0.2695921992515156</v>
      </c>
      <c r="AB11" s="41">
        <v>0.27951807701428927</v>
      </c>
      <c r="AC11" s="41">
        <v>0.28212482169978187</v>
      </c>
      <c r="AD11" s="41">
        <v>0.2619690025839506</v>
      </c>
      <c r="AE11" s="41">
        <v>0.28601043626377604</v>
      </c>
      <c r="AF11" s="41">
        <v>0.26844757174549</v>
      </c>
      <c r="AG11" s="41">
        <v>0.255178560920605</v>
      </c>
      <c r="AH11" s="41">
        <v>0.26238267501144535</v>
      </c>
      <c r="AI11" s="41">
        <v>0.30262941114832903</v>
      </c>
      <c r="AJ11" s="31">
        <v>0.3038553127382996</v>
      </c>
      <c r="AK11" s="31">
        <v>0.2919307925554966</v>
      </c>
      <c r="AL11" s="31">
        <v>0.30598930931741264</v>
      </c>
      <c r="AM11" s="31">
        <v>0.2688162813233737</v>
      </c>
      <c r="AN11" s="31">
        <v>0.2252827674594619</v>
      </c>
      <c r="AO11" s="31">
        <v>0.21424231403462124</v>
      </c>
      <c r="AP11" s="31">
        <v>0.20377977534427053</v>
      </c>
      <c r="AQ11" s="31">
        <v>0.20974942399131669</v>
      </c>
      <c r="AR11" s="31">
        <v>0.2095243259790637</v>
      </c>
      <c r="AS11" s="31">
        <v>0.20032284374101797</v>
      </c>
      <c r="AT11" s="31">
        <v>0.21809230283483624</v>
      </c>
      <c r="AU11" s="31">
        <v>0.18620174395419337</v>
      </c>
      <c r="AV11" s="31">
        <v>0.18339527057691735</v>
      </c>
      <c r="AW11" s="31">
        <v>0.2009193928943185</v>
      </c>
      <c r="AX11" s="31">
        <v>0.22046901308534847</v>
      </c>
      <c r="AY11" s="33">
        <v>0.22958543820112307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8">J12</f>
        <v>48967575.02</v>
      </c>
      <c r="G12" s="31">
        <f t="shared" si="8"/>
        <v>49269708.12</v>
      </c>
      <c r="H12" s="32">
        <f t="shared" si="5"/>
        <v>-0.00613222818</v>
      </c>
      <c r="I12" s="30"/>
      <c r="J12" s="31">
        <v>4.89675750245358E7</v>
      </c>
      <c r="K12" s="31">
        <v>4.926970811706655E7</v>
      </c>
      <c r="L12" s="31">
        <v>4.679868609359677E7</v>
      </c>
      <c r="M12" s="31">
        <v>4.66287751952819E7</v>
      </c>
      <c r="N12" s="31">
        <v>4.375370386791715E7</v>
      </c>
      <c r="O12" s="31">
        <v>4.241113348906424E7</v>
      </c>
      <c r="P12" s="31">
        <v>4.410495108834865E7</v>
      </c>
      <c r="Q12" s="31">
        <v>4.1037790082806386E7</v>
      </c>
      <c r="R12" s="31">
        <v>3.737890532112119E7</v>
      </c>
      <c r="S12" s="31">
        <v>3.800057832717614E7</v>
      </c>
      <c r="T12" s="31">
        <v>4.061837388264783E7</v>
      </c>
      <c r="U12" s="31">
        <v>3.682004023685837E7</v>
      </c>
      <c r="V12" s="31">
        <v>3.69963602185785E7</v>
      </c>
      <c r="W12" s="31">
        <v>3.608701734594336E7</v>
      </c>
      <c r="X12" s="31">
        <v>3.515841045150958E7</v>
      </c>
      <c r="Y12" s="31">
        <v>3.43557082047914E7</v>
      </c>
      <c r="Z12" s="31">
        <v>3.0159590316227894E7</v>
      </c>
      <c r="AA12" s="31">
        <v>2.9495267325500935E7</v>
      </c>
      <c r="AB12" s="31">
        <v>2.9419419612727318E7</v>
      </c>
      <c r="AC12" s="31">
        <v>2.886028730023912E7</v>
      </c>
      <c r="AD12" s="31">
        <v>2.689141462843235E7</v>
      </c>
      <c r="AE12" s="31">
        <v>2.9968754758956082E7</v>
      </c>
      <c r="AF12" s="31">
        <v>2.937573986304866E7</v>
      </c>
      <c r="AG12" s="31">
        <v>2.7969747405337077E7</v>
      </c>
      <c r="AH12" s="31">
        <v>2.8426963936161272E7</v>
      </c>
      <c r="AI12" s="31">
        <v>2.795290000787418E7</v>
      </c>
      <c r="AJ12" s="31">
        <v>2.574645311944689E7</v>
      </c>
      <c r="AK12" s="31">
        <v>2.6125438609351706E7</v>
      </c>
      <c r="AL12" s="31">
        <v>2.4357850573532153E7</v>
      </c>
      <c r="AM12" s="31">
        <v>2.189382093379114E7</v>
      </c>
      <c r="AN12" s="31">
        <v>2.1156771679640938E7</v>
      </c>
      <c r="AO12" s="31">
        <v>2.0818882463447984E7</v>
      </c>
      <c r="AP12" s="31">
        <v>1.9383299198488798E7</v>
      </c>
      <c r="AQ12" s="31">
        <v>2.1439199502309993E7</v>
      </c>
      <c r="AR12" s="31">
        <v>2.2385175757079717E7</v>
      </c>
      <c r="AS12" s="31">
        <v>1.9874456912028354E7</v>
      </c>
      <c r="AT12" s="31">
        <v>2.13386899310468E7</v>
      </c>
      <c r="AU12" s="31">
        <v>2.0635567383940738E7</v>
      </c>
      <c r="AV12" s="31">
        <v>1.9184102120830163E7</v>
      </c>
      <c r="AW12" s="31">
        <v>2.1520570615944088E7</v>
      </c>
      <c r="AX12" s="31">
        <v>2.096232546315328E7</v>
      </c>
      <c r="AY12" s="33">
        <v>2.1784137295625616E7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  <c r="J13" s="42"/>
      <c r="K13" s="42"/>
      <c r="L13" s="42"/>
      <c r="M13" s="42"/>
      <c r="N13" s="42"/>
      <c r="O13" s="42"/>
      <c r="P13" s="42"/>
      <c r="Q13" s="42"/>
      <c r="R13" s="42"/>
      <c r="S13" s="42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9">J14</f>
        <v>1754029.978</v>
      </c>
      <c r="G14" s="31">
        <f t="shared" si="9"/>
        <v>1806631.169</v>
      </c>
      <c r="H14" s="32">
        <f t="shared" ref="H14:H16" si="11">IFERROR(F14/G14-1,"-")</f>
        <v>-0.02911562222</v>
      </c>
      <c r="I14" s="30"/>
      <c r="J14" s="31">
        <v>1754029.977945644</v>
      </c>
      <c r="K14" s="31">
        <v>1806631.1685438082</v>
      </c>
      <c r="L14" s="31">
        <v>1654073.7446350076</v>
      </c>
      <c r="M14" s="31">
        <v>1596194.9944215862</v>
      </c>
      <c r="N14" s="31">
        <v>1428815.6642234053</v>
      </c>
      <c r="O14" s="31">
        <v>1360281.599021454</v>
      </c>
      <c r="P14" s="31">
        <v>1319412.1575752618</v>
      </c>
      <c r="Q14" s="31">
        <v>1166114.570168509</v>
      </c>
      <c r="R14" s="31">
        <v>1022752.7450725648</v>
      </c>
      <c r="S14" s="31">
        <v>1008246.8288061869</v>
      </c>
      <c r="T14" s="31">
        <v>992670.2993282566</v>
      </c>
      <c r="U14" s="31">
        <v>884709.2801768259</v>
      </c>
      <c r="V14" s="31">
        <v>991492.9698677699</v>
      </c>
      <c r="W14" s="31">
        <v>949180.7597422384</v>
      </c>
      <c r="X14" s="36">
        <v>880223.113879133</v>
      </c>
      <c r="Y14" s="36">
        <v>829326.5656874093</v>
      </c>
      <c r="Z14" s="36">
        <v>726650.3646876966</v>
      </c>
      <c r="AA14" s="36">
        <v>677029.4861165197</v>
      </c>
      <c r="AB14" s="36">
        <v>664029.6981260472</v>
      </c>
      <c r="AC14" s="36">
        <v>607371.6811248304</v>
      </c>
      <c r="AD14" s="36">
        <v>559944.9949289612</v>
      </c>
      <c r="AE14" s="36">
        <v>583980.3965024324</v>
      </c>
      <c r="AF14" s="36">
        <v>532898.2932092812</v>
      </c>
      <c r="AG14" s="36">
        <v>528479.2344130153</v>
      </c>
      <c r="AH14" s="36">
        <v>561580.5989957132</v>
      </c>
      <c r="AI14" s="36">
        <v>564431.64613462</v>
      </c>
      <c r="AJ14" s="36">
        <v>504638.2297705744</v>
      </c>
      <c r="AK14" s="36">
        <v>534061.8234022903</v>
      </c>
      <c r="AL14" s="36">
        <v>503715.8661616791</v>
      </c>
      <c r="AM14" s="36">
        <v>437344.4555812571</v>
      </c>
      <c r="AN14" s="36">
        <v>435992.429274421</v>
      </c>
      <c r="AO14" s="36">
        <v>415186.9566442897</v>
      </c>
      <c r="AP14" s="36">
        <v>389102.2727844139</v>
      </c>
      <c r="AQ14" s="36">
        <v>412831.0198068005</v>
      </c>
      <c r="AR14" s="36">
        <v>440513.996412379</v>
      </c>
      <c r="AS14" s="36">
        <v>396378.06245800277</v>
      </c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>
        <f t="shared" ref="F15:G15" si="10">J15</f>
        <v>0.03582023364</v>
      </c>
      <c r="G15" s="40">
        <f t="shared" si="10"/>
        <v>0.03666819305</v>
      </c>
      <c r="H15" s="32">
        <f t="shared" si="11"/>
        <v>-0.02312520306</v>
      </c>
      <c r="I15" s="30"/>
      <c r="J15" s="40">
        <v>0.03582023363555916</v>
      </c>
      <c r="K15" s="40">
        <v>0.03666819304573896</v>
      </c>
      <c r="L15" s="40">
        <v>0.03534444837461636</v>
      </c>
      <c r="M15" s="40">
        <v>0.034231973448513316</v>
      </c>
      <c r="N15" s="40">
        <v>0.032655879112238974</v>
      </c>
      <c r="O15" s="40">
        <v>0.03207369120120792</v>
      </c>
      <c r="P15" s="40">
        <v>0.029915284452584175</v>
      </c>
      <c r="Q15" s="40">
        <v>0.028415627835112794</v>
      </c>
      <c r="R15" s="40">
        <v>0.027361762905738485</v>
      </c>
      <c r="S15" s="40">
        <v>0.02653240748404975</v>
      </c>
      <c r="T15" s="40">
        <v>0.02443894731473545</v>
      </c>
      <c r="U15" s="40">
        <v>0.024027928119730726</v>
      </c>
      <c r="V15" s="40">
        <v>0.026799743650724614</v>
      </c>
      <c r="W15" s="40">
        <v>0.026302555033657787</v>
      </c>
      <c r="X15" s="36">
        <v>0.025035918933056865</v>
      </c>
      <c r="Y15" s="36">
        <v>0.024139411149491245</v>
      </c>
      <c r="Z15" s="36">
        <v>0.02409350913154512</v>
      </c>
      <c r="AA15" s="36">
        <v>0.022953834547252108</v>
      </c>
      <c r="AB15" s="36">
        <v>0.022571135218411212</v>
      </c>
      <c r="AC15" s="36">
        <v>0.021045240291831677</v>
      </c>
      <c r="AD15" s="36">
        <v>0.020822444734347672</v>
      </c>
      <c r="AE15" s="36">
        <v>0.019486308363476847</v>
      </c>
      <c r="AF15" s="36">
        <v>0.018140761584003764</v>
      </c>
      <c r="AG15" s="36">
        <v>0.018894673117862085</v>
      </c>
      <c r="AH15" s="36">
        <v>0.019755208479416253</v>
      </c>
      <c r="AI15" s="36">
        <v>0.020192239301668972</v>
      </c>
      <c r="AJ15" s="36">
        <v>0.01960030095910219</v>
      </c>
      <c r="AK15" s="36">
        <v>0.020442214631800317</v>
      </c>
      <c r="AL15" s="36">
        <v>0.020679815923866012</v>
      </c>
      <c r="AM15" s="36">
        <v>0.019975702592243978</v>
      </c>
      <c r="AN15" s="36">
        <v>0.020607701206794914</v>
      </c>
      <c r="AO15" s="36">
        <v>0.019942807082620286</v>
      </c>
      <c r="AP15" s="36">
        <v>0.020074099295477515</v>
      </c>
      <c r="AQ15" s="36">
        <v>0.019255897113244342</v>
      </c>
      <c r="AR15" s="36">
        <v>0.019678826791121286</v>
      </c>
      <c r="AS15" s="36">
        <v>0.019944095288365243</v>
      </c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>
        <f t="shared" ref="F16:G16" si="12">J16</f>
        <v>7.535149471</v>
      </c>
      <c r="G16" s="36">
        <f t="shared" si="12"/>
        <v>7.688684854</v>
      </c>
      <c r="H16" s="32">
        <f t="shared" si="11"/>
        <v>-0.0199690046</v>
      </c>
      <c r="I16" s="30"/>
      <c r="J16" s="36">
        <v>7.535149470840981</v>
      </c>
      <c r="K16" s="36">
        <v>7.688684854090152</v>
      </c>
      <c r="L16" s="36">
        <v>7.500672693461466</v>
      </c>
      <c r="M16" s="36">
        <v>7.455200941162785</v>
      </c>
      <c r="N16" s="36">
        <v>7.428564603491143</v>
      </c>
      <c r="O16" s="36">
        <v>7.346793303990224</v>
      </c>
      <c r="P16" s="36">
        <v>7.984993955070507</v>
      </c>
      <c r="Q16" s="36">
        <v>7.836880386912578</v>
      </c>
      <c r="R16" s="36">
        <v>7.935605603203332</v>
      </c>
      <c r="S16" s="36">
        <v>8.199722494370526</v>
      </c>
      <c r="T16" s="36">
        <v>8.35213401745602</v>
      </c>
      <c r="U16" s="36">
        <v>7.785183630590607</v>
      </c>
      <c r="V16" s="36">
        <v>7.145878342339663</v>
      </c>
      <c r="W16" s="36">
        <v>6.615407814255314</v>
      </c>
      <c r="X16" s="31">
        <v>6.363340250997402</v>
      </c>
      <c r="Y16" s="31">
        <v>7.042791843714688</v>
      </c>
      <c r="Z16" s="31">
        <v>6.799893787621603</v>
      </c>
      <c r="AA16" s="31">
        <v>6.751288780103089</v>
      </c>
      <c r="AB16" s="31">
        <v>6.751473597741954</v>
      </c>
      <c r="AC16" s="31">
        <v>6.460736201000425</v>
      </c>
      <c r="AD16" s="31">
        <v>6.549534101511475</v>
      </c>
      <c r="AE16" s="31">
        <v>6.811475562958753</v>
      </c>
      <c r="AF16" s="31">
        <v>6.536076484572561</v>
      </c>
      <c r="AG16" s="31">
        <v>5.896492054909672</v>
      </c>
      <c r="AH16" s="31">
        <v>5.925717739976699</v>
      </c>
      <c r="AI16" s="31">
        <v>5.724008168999548</v>
      </c>
      <c r="AJ16" s="31">
        <v>5.761359652330799</v>
      </c>
      <c r="AK16" s="31">
        <v>6.0565526504915415</v>
      </c>
      <c r="AL16" s="31">
        <v>5.721307780631027</v>
      </c>
      <c r="AM16" s="31">
        <v>5.660914995498966</v>
      </c>
      <c r="AN16" s="31">
        <v>5.5242379812836</v>
      </c>
      <c r="AO16" s="31">
        <v>5.467453853477153</v>
      </c>
      <c r="AP16" s="31">
        <v>5.37294793170524</v>
      </c>
      <c r="AQ16" s="31">
        <v>5.206730564718433</v>
      </c>
      <c r="AR16" s="31">
        <v>5.215589276888118</v>
      </c>
      <c r="AS16" s="31">
        <v>4.836397040987881</v>
      </c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3">J18</f>
        <v>1706035.919</v>
      </c>
      <c r="G18" s="31">
        <f t="shared" si="13"/>
        <v>1733413.871</v>
      </c>
      <c r="H18" s="32">
        <f t="shared" ref="H18:H19" si="15">IFERROR(F18/G18-1,"-")</f>
        <v>-0.01579423847</v>
      </c>
      <c r="I18" s="30"/>
      <c r="J18" s="31">
        <v>1706035.91868578</v>
      </c>
      <c r="K18" s="31">
        <v>1733413.87072336</v>
      </c>
      <c r="L18" s="31">
        <v>1587383.95571928</v>
      </c>
      <c r="M18" s="31">
        <v>1528562.67567036</v>
      </c>
      <c r="N18" s="31">
        <v>1389583.69605169</v>
      </c>
      <c r="O18" s="31">
        <v>1316908.89454553</v>
      </c>
      <c r="P18" s="31">
        <v>1263998.80097631</v>
      </c>
      <c r="Q18" s="31">
        <v>1099846.40321736</v>
      </c>
      <c r="R18" s="31">
        <v>982471.855951182</v>
      </c>
      <c r="S18" s="31">
        <v>976194.605099301</v>
      </c>
      <c r="T18" s="31">
        <v>950823.841615646</v>
      </c>
      <c r="U18" s="31">
        <v>844010.010225623</v>
      </c>
      <c r="V18" s="31">
        <v>945650.203164711</v>
      </c>
      <c r="W18" s="31">
        <v>896671.309386391</v>
      </c>
      <c r="X18" s="36">
        <v>831982.089389021</v>
      </c>
      <c r="Y18" s="36">
        <v>785684.154966937</v>
      </c>
      <c r="Z18" s="36">
        <v>695788.961973361</v>
      </c>
      <c r="AA18" s="36">
        <v>639700.250623729</v>
      </c>
      <c r="AB18" s="36">
        <v>625240.182244063</v>
      </c>
      <c r="AC18" s="36">
        <v>587738.415059042</v>
      </c>
      <c r="AD18" s="36">
        <v>542843.410350174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>
        <f t="shared" ref="F19:G19" si="14">J19</f>
        <v>0.03484011446</v>
      </c>
      <c r="G19" s="40">
        <f t="shared" si="14"/>
        <v>0.03518214207</v>
      </c>
      <c r="H19" s="32">
        <f t="shared" si="15"/>
        <v>-0.009721625514</v>
      </c>
      <c r="I19" s="30"/>
      <c r="J19" s="58">
        <v>0.0348401144600474</v>
      </c>
      <c r="K19" s="58">
        <v>0.0351821420700263</v>
      </c>
      <c r="L19" s="58">
        <v>0.033919412877202</v>
      </c>
      <c r="M19" s="58">
        <v>0.0327815317745045</v>
      </c>
      <c r="N19" s="58">
        <v>0.0317592243218206</v>
      </c>
      <c r="O19" s="58">
        <v>0.0310510185936223</v>
      </c>
      <c r="P19" s="58">
        <v>0.0286588868094273</v>
      </c>
      <c r="Q19" s="58">
        <v>0.0268008194641593</v>
      </c>
      <c r="R19" s="58">
        <v>0.0262841259665255</v>
      </c>
      <c r="S19" s="58">
        <v>0.025688940749651</v>
      </c>
      <c r="T19" s="58">
        <v>0.0234087126275096</v>
      </c>
      <c r="U19" s="58">
        <v>0.0229225716429482</v>
      </c>
      <c r="V19" s="58">
        <v>0.0255606280611851</v>
      </c>
      <c r="W19" s="58">
        <v>0.0248474763317392</v>
      </c>
      <c r="X19" s="36">
        <v>0.0236638141117468</v>
      </c>
      <c r="Y19" s="36">
        <v>0.0228691008284137</v>
      </c>
      <c r="Z19" s="36">
        <v>0.0230702391736064</v>
      </c>
      <c r="AA19" s="36">
        <v>0.0216882336940428</v>
      </c>
      <c r="AB19" s="36">
        <v>0.0212526348403411</v>
      </c>
      <c r="AC19" s="36">
        <v>0.0203649537145866</v>
      </c>
      <c r="AD19" s="36">
        <v>0.020186495126821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6">J21</f>
        <v>1696292.413</v>
      </c>
      <c r="G21" s="31">
        <f t="shared" si="16"/>
        <v>1723445.926</v>
      </c>
      <c r="H21" s="32">
        <f t="shared" ref="H21:H22" si="18">IFERROR(F21/G21-1,"-")</f>
        <v>-0.01575536127</v>
      </c>
      <c r="I21" s="30"/>
      <c r="J21" s="31">
        <v>1696292.41282573</v>
      </c>
      <c r="K21" s="31">
        <v>1723445.92601637</v>
      </c>
      <c r="L21" s="31">
        <v>1575135.78040403</v>
      </c>
      <c r="M21" s="31">
        <v>1520098.34417645</v>
      </c>
      <c r="N21" s="31">
        <v>1382304.69918334</v>
      </c>
      <c r="O21" s="31">
        <v>1310958.26288326</v>
      </c>
      <c r="P21" s="31">
        <v>1256374.98033465</v>
      </c>
      <c r="Q21" s="31">
        <v>1092469.21783294</v>
      </c>
      <c r="R21" s="31">
        <v>971800.319881245</v>
      </c>
      <c r="S21" s="31">
        <v>959467.305180219</v>
      </c>
      <c r="T21" s="31">
        <v>929165.464545763</v>
      </c>
      <c r="U21" s="31">
        <v>819406.323880749</v>
      </c>
      <c r="V21" s="31">
        <v>920593.25197336</v>
      </c>
      <c r="W21" s="31">
        <v>875109.464911694</v>
      </c>
      <c r="X21" s="36">
        <v>801012.001711319</v>
      </c>
      <c r="Y21" s="36">
        <v>740588.440454134</v>
      </c>
      <c r="Z21" s="36">
        <v>648144.823538331</v>
      </c>
      <c r="AA21" s="36">
        <v>606947.911758163</v>
      </c>
      <c r="AB21" s="36">
        <v>598516.150710848</v>
      </c>
      <c r="AC21" s="36">
        <v>561703.388585795</v>
      </c>
      <c r="AD21" s="36">
        <v>527681.089569454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26"/>
      <c r="B22" s="27"/>
      <c r="C22" s="28" t="s">
        <v>21</v>
      </c>
      <c r="D22" s="39" t="s">
        <v>10</v>
      </c>
      <c r="E22" s="30"/>
      <c r="F22" s="40">
        <f t="shared" ref="F22:G22" si="17">J22</f>
        <v>0.03464113573</v>
      </c>
      <c r="G22" s="40">
        <f t="shared" si="17"/>
        <v>0.03497982821</v>
      </c>
      <c r="H22" s="32">
        <f t="shared" si="18"/>
        <v>-0.009682508439</v>
      </c>
      <c r="I22" s="30"/>
      <c r="J22" s="58">
        <v>0.03464113573065</v>
      </c>
      <c r="K22" s="58">
        <v>0.0349798282125278</v>
      </c>
      <c r="L22" s="58">
        <v>0.0336576923816575</v>
      </c>
      <c r="M22" s="58">
        <v>0.0326000058506848</v>
      </c>
      <c r="N22" s="58">
        <v>0.0315928613348076</v>
      </c>
      <c r="O22" s="58">
        <v>0.0309107103497078</v>
      </c>
      <c r="P22" s="58">
        <v>0.0284860304644245</v>
      </c>
      <c r="Q22" s="58">
        <v>0.0266210538050062</v>
      </c>
      <c r="R22" s="58">
        <v>0.0259986297493876</v>
      </c>
      <c r="S22" s="58">
        <v>0.0252487553457589</v>
      </c>
      <c r="T22" s="58">
        <v>0.0228754963758581</v>
      </c>
      <c r="U22" s="58">
        <v>0.0222543571003621</v>
      </c>
      <c r="V22" s="58">
        <v>0.0248833465382647</v>
      </c>
      <c r="W22" s="58">
        <v>0.0242499804437306</v>
      </c>
      <c r="X22" s="36">
        <v>0.0227829413054971</v>
      </c>
      <c r="Y22" s="36">
        <v>0.0215564888384646</v>
      </c>
      <c r="Z22" s="36">
        <v>0.0214905049021699</v>
      </c>
      <c r="AA22" s="36">
        <v>0.0205778067735433</v>
      </c>
      <c r="AB22" s="36">
        <v>0.0203442541895667</v>
      </c>
      <c r="AC22" s="36">
        <v>0.019462848125602</v>
      </c>
      <c r="AD22" s="36">
        <v>0.0196226601263116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7"/>
      <c r="AZ22" s="37"/>
      <c r="BA22" s="37"/>
      <c r="BB22" s="37"/>
      <c r="BC22" s="37"/>
      <c r="BD22" s="37"/>
      <c r="BE22" s="37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19">J24</f>
        <v>4907534.112</v>
      </c>
      <c r="G24" s="31">
        <f t="shared" si="19"/>
        <v>4922909.793</v>
      </c>
      <c r="H24" s="32">
        <f t="shared" ref="H24:H26" si="21">IFERROR(F24/G24-1,"-")</f>
        <v>-0.003123291229</v>
      </c>
      <c r="I24" s="30"/>
      <c r="J24" s="31">
        <v>4907534.111974332</v>
      </c>
      <c r="K24" s="31">
        <v>4922909.792949375</v>
      </c>
      <c r="L24" s="31">
        <v>4517369.880438632</v>
      </c>
      <c r="M24" s="31">
        <v>4138327.037276027</v>
      </c>
      <c r="N24" s="31">
        <v>3739689.1766107175</v>
      </c>
      <c r="O24" s="31">
        <v>3429871.208138556</v>
      </c>
      <c r="P24" s="31">
        <v>3548578.003776679</v>
      </c>
      <c r="Q24" s="31">
        <v>3146807.376606043</v>
      </c>
      <c r="R24" s="31">
        <v>2793370.197353203</v>
      </c>
      <c r="S24" s="31">
        <v>2878057.4053828963</v>
      </c>
      <c r="T24" s="31">
        <v>2962948.8004969787</v>
      </c>
      <c r="U24" s="31">
        <v>2450349.975418544</v>
      </c>
      <c r="V24" s="31">
        <v>2416062.0054094912</v>
      </c>
      <c r="W24" s="31">
        <v>2349601.3599843173</v>
      </c>
      <c r="X24" s="31">
        <v>2238578.3528984007</v>
      </c>
      <c r="Y24" s="31">
        <v>2214747.2685324303</v>
      </c>
      <c r="Z24" s="31">
        <v>1962353.7141594777</v>
      </c>
      <c r="AA24" s="31">
        <v>1862061.7386516083</v>
      </c>
      <c r="AB24" s="31">
        <v>1758615.0548955773</v>
      </c>
      <c r="AC24" s="31">
        <v>1703680.8267747941</v>
      </c>
      <c r="AD24" s="31">
        <v>1486564.9739851737</v>
      </c>
      <c r="AE24" s="31">
        <v>1539623.2560428227</v>
      </c>
      <c r="AF24" s="31">
        <v>1462720.9092046204</v>
      </c>
      <c r="AG24" s="31">
        <v>1367299.307434182</v>
      </c>
      <c r="AH24" s="31">
        <v>1404917.484934582</v>
      </c>
      <c r="AI24" s="31">
        <v>1402921.8590131367</v>
      </c>
      <c r="AJ24" s="31">
        <v>1158970.089269951</v>
      </c>
      <c r="AK24" s="31">
        <v>1038649.9321847417</v>
      </c>
      <c r="AL24" s="36">
        <v>990481.3358293421</v>
      </c>
      <c r="AM24" s="36">
        <v>880367.4970071121</v>
      </c>
      <c r="AN24" s="36">
        <v>812785.8758785218</v>
      </c>
      <c r="AO24" s="36">
        <v>785801.0681168105</v>
      </c>
      <c r="AP24" s="36">
        <v>718323.0335065329</v>
      </c>
      <c r="AQ24" s="36">
        <v>603144.5451437637</v>
      </c>
      <c r="AR24" s="36">
        <v>623228.2273072423</v>
      </c>
      <c r="AS24" s="36">
        <v>534443.7814313268</v>
      </c>
      <c r="AT24" s="36">
        <v>580509.1343639619</v>
      </c>
      <c r="AU24" s="36">
        <v>554826.5211680837</v>
      </c>
      <c r="AV24" s="36">
        <v>473050.0446435142</v>
      </c>
      <c r="AW24" s="36">
        <v>384872.952940562</v>
      </c>
      <c r="AX24" s="36">
        <v>371499.6686642138</v>
      </c>
      <c r="AY24" s="37">
        <v>371998.6637626072</v>
      </c>
      <c r="AZ24" s="37">
        <v>352835.1156991945</v>
      </c>
      <c r="BA24" s="37">
        <v>333363.3187024415</v>
      </c>
      <c r="BB24" s="37">
        <v>163955.1551114555</v>
      </c>
      <c r="BC24" s="37">
        <v>181674.1580135348</v>
      </c>
      <c r="BD24" s="37">
        <v>177207.8530508855</v>
      </c>
      <c r="BE24" s="37">
        <v>147207.6196875704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20">J25</f>
        <v>0.1002200764</v>
      </c>
      <c r="G25" s="40">
        <f t="shared" si="20"/>
        <v>0.09991757575</v>
      </c>
      <c r="H25" s="50">
        <f t="shared" si="21"/>
        <v>0.003027502286</v>
      </c>
      <c r="I25" s="49"/>
      <c r="J25" s="40">
        <v>0.10022007643865051</v>
      </c>
      <c r="K25" s="40">
        <v>0.09991757574963442</v>
      </c>
      <c r="L25" s="40">
        <v>0.09652770745323812</v>
      </c>
      <c r="M25" s="40">
        <v>0.08875049837669252</v>
      </c>
      <c r="N25" s="40">
        <v>0.085471373758437</v>
      </c>
      <c r="O25" s="40">
        <v>0.08087195332855115</v>
      </c>
      <c r="P25" s="40">
        <v>0.08045758846140334</v>
      </c>
      <c r="Q25" s="40">
        <v>0.07668072209191551</v>
      </c>
      <c r="R25" s="40">
        <v>0.07473119325874937</v>
      </c>
      <c r="S25" s="40">
        <v>0.07573720011846903</v>
      </c>
      <c r="T25" s="40">
        <v>0.07294602213907807</v>
      </c>
      <c r="U25" s="40">
        <v>0.06654935626511464</v>
      </c>
      <c r="V25" s="40">
        <v>0.0653053973724749</v>
      </c>
      <c r="W25" s="40">
        <v>0.06510932553555697</v>
      </c>
      <c r="X25" s="40">
        <v>0.06367120481700514</v>
      </c>
      <c r="Y25" s="40">
        <v>0.06446519033548992</v>
      </c>
      <c r="Z25" s="40">
        <v>0.06506566215203524</v>
      </c>
      <c r="AA25" s="40">
        <v>0.06313086496563848</v>
      </c>
      <c r="AB25" s="40">
        <v>0.059777353803906176</v>
      </c>
      <c r="AC25" s="40">
        <v>0.05903201201883664</v>
      </c>
      <c r="AD25" s="40">
        <v>0.05528028162614493</v>
      </c>
      <c r="AE25" s="40">
        <v>0.05137428192883825</v>
      </c>
      <c r="AF25" s="40">
        <v>0.04979350021561693</v>
      </c>
      <c r="AG25" s="40">
        <v>0.048884935842262174</v>
      </c>
      <c r="AH25" s="40">
        <v>0.04942200257789118</v>
      </c>
      <c r="AI25" s="40">
        <v>0.050188776785877</v>
      </c>
      <c r="AJ25" s="40">
        <v>0.04501474761952955</v>
      </c>
      <c r="AK25" s="40">
        <v>0.039756267740245814</v>
      </c>
      <c r="AL25" s="40">
        <v>0.04066374136089101</v>
      </c>
      <c r="AM25" s="40">
        <v>0.040210774522611736</v>
      </c>
      <c r="AN25" s="40">
        <v>0.03841729202289695</v>
      </c>
      <c r="AO25" s="40">
        <v>0.03774463252273281</v>
      </c>
      <c r="AP25" s="40">
        <v>0.03705886320748412</v>
      </c>
      <c r="AQ25" s="40">
        <v>0.028132792228496083</v>
      </c>
      <c r="AR25" s="40">
        <v>0.027841113872431184</v>
      </c>
      <c r="AS25" s="40">
        <v>0.026890987954889596</v>
      </c>
      <c r="AT25" s="40">
        <v>0.027204534872562545</v>
      </c>
      <c r="AU25" s="40">
        <v>0.026886904093553904</v>
      </c>
      <c r="AV25" s="40">
        <v>0.024658440705956984</v>
      </c>
      <c r="AW25" s="40">
        <v>0.017883956694689992</v>
      </c>
      <c r="AX25" s="40">
        <v>0.017722254590370745</v>
      </c>
      <c r="AY25" s="51">
        <v>0.017076584613580578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2">J26</f>
        <v>13024717.56</v>
      </c>
      <c r="G26" s="31">
        <f t="shared" si="22"/>
        <v>12941439.26</v>
      </c>
      <c r="H26" s="32">
        <f t="shared" si="21"/>
        <v>0.006435011235</v>
      </c>
      <c r="I26" s="30"/>
      <c r="J26" s="31">
        <v>1.302471756489519E7</v>
      </c>
      <c r="K26" s="31">
        <v>1.2941439257873416E7</v>
      </c>
      <c r="L26" s="31">
        <v>1.1923649349249778E7</v>
      </c>
      <c r="M26" s="31">
        <v>1.0931228110185338E7</v>
      </c>
      <c r="N26" s="31">
        <v>9908767.111386912</v>
      </c>
      <c r="O26" s="31">
        <v>9286914.973526485</v>
      </c>
      <c r="P26" s="31">
        <v>9979713.593300203</v>
      </c>
      <c r="Q26" s="31">
        <v>7952646.624228853</v>
      </c>
      <c r="R26" s="31">
        <v>6702658.212311588</v>
      </c>
      <c r="S26" s="31">
        <v>6944103.184089516</v>
      </c>
      <c r="T26" s="31">
        <v>6683902.838041892</v>
      </c>
      <c r="U26" s="31">
        <v>5771616.4347814135</v>
      </c>
      <c r="V26" s="31">
        <v>6754483.241626561</v>
      </c>
      <c r="W26" s="31">
        <v>6266436.618561736</v>
      </c>
      <c r="X26" s="31">
        <v>5596537.2578617325</v>
      </c>
      <c r="Y26" s="31">
        <v>5728477.39359254</v>
      </c>
      <c r="Z26" s="31">
        <v>4871214.932621362</v>
      </c>
      <c r="AA26" s="31">
        <v>4711720.124024052</v>
      </c>
      <c r="AB26" s="31">
        <v>4514060.089846267</v>
      </c>
      <c r="AC26" s="31">
        <v>4232660.445003894</v>
      </c>
      <c r="AD26" s="31">
        <v>3903215.892070157</v>
      </c>
      <c r="AE26" s="31">
        <v>5015691.904490675</v>
      </c>
      <c r="AF26" s="31">
        <v>4209140.698401431</v>
      </c>
      <c r="AG26" s="31">
        <v>3549250.2691319636</v>
      </c>
      <c r="AH26" s="31">
        <v>4016302.5897679357</v>
      </c>
      <c r="AI26" s="31">
        <v>4688769.806400884</v>
      </c>
      <c r="AJ26" s="31">
        <v>4429969.992442813</v>
      </c>
      <c r="AK26" s="31">
        <v>4159082.9064177177</v>
      </c>
      <c r="AL26" s="36">
        <v>4299486.267362575</v>
      </c>
      <c r="AM26" s="36">
        <v>3211356.034359304</v>
      </c>
      <c r="AN26" s="36">
        <v>1984422.2446704975</v>
      </c>
      <c r="AO26" s="36">
        <v>1647703.514285592</v>
      </c>
      <c r="AP26" s="36">
        <v>1212198.8576509354</v>
      </c>
      <c r="AQ26" s="36">
        <v>1486209.1797351516</v>
      </c>
      <c r="AR26" s="36">
        <v>1167568.9218381674</v>
      </c>
      <c r="AS26" s="36">
        <v>830470.2565220722</v>
      </c>
      <c r="AT26" s="36">
        <v>1190717.06997055</v>
      </c>
      <c r="AU26" s="36">
        <v>901639.402340169</v>
      </c>
      <c r="AV26" s="36">
        <v>824778.4007519557</v>
      </c>
      <c r="AW26" s="36">
        <v>1191890.5161497134</v>
      </c>
      <c r="AX26" s="36">
        <v>1349641.0708998784</v>
      </c>
      <c r="AY26" s="37">
        <v>1511315.240830636</v>
      </c>
      <c r="AZ26" s="37">
        <v>1396829.4955917327</v>
      </c>
      <c r="BA26" s="37">
        <v>1340933.775138268</v>
      </c>
      <c r="BB26" s="37">
        <v>1166693.4873846532</v>
      </c>
      <c r="BC26" s="37">
        <v>1456107.1413343889</v>
      </c>
      <c r="BD26" s="37">
        <v>1064694.113410387</v>
      </c>
      <c r="BE26" s="37">
        <v>960986.0499613188</v>
      </c>
    </row>
    <row r="27">
      <c r="D27" s="3"/>
      <c r="F27" s="4"/>
      <c r="G27" s="4"/>
      <c r="H27" s="5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>
        <f t="shared" ref="F29:G29" si="23">J29</f>
        <v>1</v>
      </c>
      <c r="G29" s="55">
        <f t="shared" si="23"/>
        <v>1</v>
      </c>
      <c r="H29" s="56">
        <f t="shared" ref="H29:H37" si="25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4">J30</f>
        <v>0.3855846541</v>
      </c>
      <c r="G30" s="55">
        <f t="shared" si="24"/>
        <v>0.3784043745</v>
      </c>
      <c r="H30" s="32">
        <f t="shared" si="25"/>
        <v>0.01897514966</v>
      </c>
      <c r="I30" s="30"/>
      <c r="J30" s="40">
        <v>0.3855846540961465</v>
      </c>
      <c r="K30" s="40">
        <v>0.37840437445789477</v>
      </c>
      <c r="L30" s="40">
        <v>0.37442492141261996</v>
      </c>
      <c r="M30" s="40">
        <v>0.36479967235225713</v>
      </c>
      <c r="N30" s="40">
        <v>0.36790579445477817</v>
      </c>
      <c r="O30" s="40">
        <v>0.3684328947388877</v>
      </c>
      <c r="P30" s="40">
        <v>0.3617408524388566</v>
      </c>
      <c r="Q30" s="40">
        <v>0.36746824522298116</v>
      </c>
      <c r="R30" s="40">
        <v>0.36782412883716453</v>
      </c>
      <c r="S30" s="40">
        <v>0.36109510482164237</v>
      </c>
      <c r="T30" s="40">
        <v>0.3503208356687636</v>
      </c>
      <c r="U30" s="40">
        <v>0.35488039558767753</v>
      </c>
      <c r="V30" s="40">
        <v>0.34695107214334253</v>
      </c>
      <c r="W30" s="40">
        <v>0.33941081577905313</v>
      </c>
      <c r="X30" s="31">
        <v>0.3388981609429496</v>
      </c>
      <c r="Y30" s="31">
        <v>0.32713248326114636</v>
      </c>
      <c r="Z30" s="31">
        <v>0.32523754716949455</v>
      </c>
      <c r="AA30" s="31">
        <v>0.3126144447735864</v>
      </c>
      <c r="AB30" s="31">
        <v>0.3114252773040258</v>
      </c>
      <c r="AC30" s="31">
        <v>0.31435236917235193</v>
      </c>
      <c r="AD30" s="31">
        <v>0.3204497556585819</v>
      </c>
      <c r="AE30" s="31">
        <v>0.3071051588674087</v>
      </c>
      <c r="AF30" s="31">
        <v>0.3012576240684552</v>
      </c>
      <c r="AG30" s="31">
        <v>0.3036298994504584</v>
      </c>
      <c r="AH30" s="31">
        <v>0.2949822732509372</v>
      </c>
      <c r="AI30" s="31">
        <v>0.2878681935564227</v>
      </c>
      <c r="AJ30" s="31">
        <v>0.28429336491371776</v>
      </c>
      <c r="AK30" s="31">
        <v>0.2950455302909716</v>
      </c>
      <c r="AL30" s="31">
        <v>0.282299079840256</v>
      </c>
      <c r="AM30" s="31">
        <v>0.29591666220356905</v>
      </c>
      <c r="AN30" s="31">
        <v>0.3214081916108619</v>
      </c>
      <c r="AO30" s="31">
        <v>0.3254212904780845</v>
      </c>
      <c r="AP30" s="31">
        <v>0.3256049155357443</v>
      </c>
      <c r="AQ30" s="31">
        <v>0.3142944369163413</v>
      </c>
      <c r="AR30" s="31">
        <v>0.3130280590629423</v>
      </c>
      <c r="AS30" s="31">
        <v>0.2940137018458866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6">J31</f>
        <v>0.06983140239</v>
      </c>
      <c r="G31" s="55">
        <f t="shared" si="26"/>
        <v>0.07314829927</v>
      </c>
      <c r="H31" s="32">
        <f t="shared" si="25"/>
        <v>-0.04534482576</v>
      </c>
      <c r="I31" s="30"/>
      <c r="J31" s="40">
        <v>0.06983140238563358</v>
      </c>
      <c r="K31" s="40">
        <v>0.07314829927053304</v>
      </c>
      <c r="L31" s="40">
        <v>0.07668225080426008</v>
      </c>
      <c r="M31" s="40">
        <v>0.07527888346416653</v>
      </c>
      <c r="N31" s="40">
        <v>0.07267953414189272</v>
      </c>
      <c r="O31" s="40">
        <v>0.06448638723687204</v>
      </c>
      <c r="P31" s="40">
        <v>0.064447544696228</v>
      </c>
      <c r="Q31" s="40">
        <v>0.061150640866032224</v>
      </c>
      <c r="R31" s="40">
        <v>0.06418894683839947</v>
      </c>
      <c r="S31" s="40">
        <v>0.06167439146390566</v>
      </c>
      <c r="T31" s="40">
        <v>0.05874676965377239</v>
      </c>
      <c r="U31" s="40">
        <v>0.058766743163957136</v>
      </c>
      <c r="V31" s="40">
        <v>0.04639211569808164</v>
      </c>
      <c r="W31" s="40">
        <v>0.047180601445754915</v>
      </c>
      <c r="X31" s="31">
        <v>0.04842037297705596</v>
      </c>
      <c r="Y31" s="31">
        <v>0.05594065723765565</v>
      </c>
      <c r="Z31" s="31">
        <v>0.05275398876120516</v>
      </c>
      <c r="AA31" s="31">
        <v>0.0527727475523844</v>
      </c>
      <c r="AB31" s="31">
        <v>0.05717241391044542</v>
      </c>
      <c r="AC31" s="31">
        <v>0.06459616471419662</v>
      </c>
      <c r="AD31" s="31">
        <v>0.06208031190008173</v>
      </c>
      <c r="AE31" s="31">
        <v>0.06697883076373558</v>
      </c>
      <c r="AF31" s="31">
        <v>0.06331425935886426</v>
      </c>
      <c r="AG31" s="31">
        <v>0.06474653248303164</v>
      </c>
      <c r="AH31" s="31">
        <v>0.060964061522217804</v>
      </c>
      <c r="AI31" s="31">
        <v>0.07665965919380463</v>
      </c>
      <c r="AJ31" s="31">
        <v>0.07751314553286234</v>
      </c>
      <c r="AK31" s="31">
        <v>0.07078264925663569</v>
      </c>
      <c r="AL31" s="31">
        <v>0.07836606216964097</v>
      </c>
      <c r="AM31" s="31">
        <v>0.05669996980964753</v>
      </c>
      <c r="AN31" s="31">
        <v>0.03794928277630037</v>
      </c>
      <c r="AO31" s="31">
        <v>0.03679299897445884</v>
      </c>
      <c r="AP31" s="31">
        <v>0.03842989711980699</v>
      </c>
      <c r="AQ31" s="31">
        <v>0.040109924199364495</v>
      </c>
      <c r="AR31" s="31">
        <v>0.042535482164928425</v>
      </c>
      <c r="AS31" s="31">
        <v>0.04078000295433751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27">J32</f>
        <v>0.150690555</v>
      </c>
      <c r="G32" s="55">
        <f t="shared" si="27"/>
        <v>0.14188351</v>
      </c>
      <c r="H32" s="32">
        <f t="shared" si="25"/>
        <v>0.06207236553</v>
      </c>
      <c r="I32" s="30"/>
      <c r="J32" s="40">
        <v>0.1506905550454884</v>
      </c>
      <c r="K32" s="40">
        <v>0.14188350995358456</v>
      </c>
      <c r="L32" s="40">
        <v>0.1521419956722925</v>
      </c>
      <c r="M32" s="40">
        <v>0.1545380671039941</v>
      </c>
      <c r="N32" s="40">
        <v>0.1573800337028659</v>
      </c>
      <c r="O32" s="40">
        <v>0.16046001189241502</v>
      </c>
      <c r="P32" s="40">
        <v>0.16177823650007483</v>
      </c>
      <c r="Q32" s="40">
        <v>0.17632417712686455</v>
      </c>
      <c r="R32" s="40">
        <v>0.17840055763833454</v>
      </c>
      <c r="S32" s="40">
        <v>0.18379959996643438</v>
      </c>
      <c r="T32" s="40">
        <v>0.1867399462719173</v>
      </c>
      <c r="U32" s="40">
        <v>0.19057999025145475</v>
      </c>
      <c r="V32" s="40">
        <v>0.19234456843089787</v>
      </c>
      <c r="W32" s="40">
        <v>0.18964404852463965</v>
      </c>
      <c r="X32" s="31">
        <v>0.19521283552813132</v>
      </c>
      <c r="Y32" s="31">
        <v>0.1898648308097007</v>
      </c>
      <c r="Z32" s="31">
        <v>0.18976185548857905</v>
      </c>
      <c r="AA32" s="31">
        <v>0.18011327018138532</v>
      </c>
      <c r="AB32" s="31">
        <v>0.1808510567143695</v>
      </c>
      <c r="AC32" s="31">
        <v>0.1850510334451259</v>
      </c>
      <c r="AD32" s="31">
        <v>0.1868042641544064</v>
      </c>
      <c r="AE32" s="31">
        <v>0.1945670483620006</v>
      </c>
      <c r="AF32" s="31">
        <v>0.20563182853361506</v>
      </c>
      <c r="AG32" s="31">
        <v>0.21375611463642302</v>
      </c>
      <c r="AH32" s="31">
        <v>0.21469302231339246</v>
      </c>
      <c r="AI32" s="31">
        <v>0.20096346929011397</v>
      </c>
      <c r="AJ32" s="31">
        <v>0.20202608584912488</v>
      </c>
      <c r="AK32" s="31">
        <v>0.20716014001083974</v>
      </c>
      <c r="AL32" s="31">
        <v>0.20596798250648238</v>
      </c>
      <c r="AM32" s="31">
        <v>0.21898270793918612</v>
      </c>
      <c r="AN32" s="31">
        <v>0.22914282659508395</v>
      </c>
      <c r="AO32" s="31">
        <v>0.22911133499012948</v>
      </c>
      <c r="AP32" s="31">
        <v>0.23305200160371592</v>
      </c>
      <c r="AQ32" s="31">
        <v>0.23976611634307332</v>
      </c>
      <c r="AR32" s="31">
        <v>0.2431798142427297</v>
      </c>
      <c r="AS32" s="31">
        <v>0.24783854283538886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28">J33</f>
        <v>0.04693295258</v>
      </c>
      <c r="G33" s="55">
        <f t="shared" si="28"/>
        <v>0.04690102668</v>
      </c>
      <c r="H33" s="32">
        <f t="shared" si="25"/>
        <v>0.0006807078338</v>
      </c>
      <c r="I33" s="30"/>
      <c r="J33" s="40">
        <v>0.04693295257517776</v>
      </c>
      <c r="K33" s="40">
        <v>0.046901026678902336</v>
      </c>
      <c r="L33" s="40">
        <v>0.04590249829564339</v>
      </c>
      <c r="M33" s="40">
        <v>0.04875942925131293</v>
      </c>
      <c r="N33" s="40">
        <v>0.04442500075137004</v>
      </c>
      <c r="O33" s="40">
        <v>0.044153236129531946</v>
      </c>
      <c r="P33" s="40">
        <v>0.04861795179249983</v>
      </c>
      <c r="Q33" s="40">
        <v>0.04926911828841382</v>
      </c>
      <c r="R33" s="40">
        <v>0.05068898977840219</v>
      </c>
      <c r="S33" s="40">
        <v>0.049803776960025276</v>
      </c>
      <c r="T33" s="40">
        <v>0.0491468403515235</v>
      </c>
      <c r="U33" s="40">
        <v>0.049956330736666284</v>
      </c>
      <c r="V33" s="40">
        <v>0.05258966236533832</v>
      </c>
      <c r="W33" s="40">
        <v>0.052092913585174885</v>
      </c>
      <c r="X33" s="31">
        <v>0.05072837360657239</v>
      </c>
      <c r="Y33" s="31">
        <v>0.0510759546040476</v>
      </c>
      <c r="Z33" s="31">
        <v>0.051475450878908674</v>
      </c>
      <c r="AA33" s="31">
        <v>0.05590498958948858</v>
      </c>
      <c r="AB33" s="31">
        <v>0.060313846370838545</v>
      </c>
      <c r="AC33" s="31">
        <v>0.05914932160363326</v>
      </c>
      <c r="AD33" s="31">
        <v>0.04680174924089516</v>
      </c>
      <c r="AE33" s="31">
        <v>0.044838473738986535</v>
      </c>
      <c r="AF33" s="31">
        <v>0.05785385019315061</v>
      </c>
      <c r="AG33" s="31">
        <v>0.052790512665906564</v>
      </c>
      <c r="AH33" s="31">
        <v>0.05086965030673926</v>
      </c>
      <c r="AI33" s="31">
        <v>0.05865973358781343</v>
      </c>
      <c r="AJ33" s="31">
        <v>0.05441885888029555</v>
      </c>
      <c r="AK33" s="31">
        <v>0.046809162852446004</v>
      </c>
      <c r="AL33" s="31">
        <v>0.06495638616227395</v>
      </c>
      <c r="AM33" s="31">
        <v>0.05814073181799069</v>
      </c>
      <c r="AN33" s="31">
        <v>0.048661407286621744</v>
      </c>
      <c r="AO33" s="31">
        <v>0.04910050188818603</v>
      </c>
      <c r="AP33" s="31">
        <v>0.04544508821547738</v>
      </c>
      <c r="AQ33" s="31">
        <v>0.042213486208804774</v>
      </c>
      <c r="AR33" s="31">
        <v>0.04268106501878632</v>
      </c>
      <c r="AS33" s="31">
        <v>0.05141111119751977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29">J34</f>
        <v>0.1246276123</v>
      </c>
      <c r="G34" s="55">
        <f t="shared" si="29"/>
        <v>0.1262403661</v>
      </c>
      <c r="H34" s="32">
        <f t="shared" si="25"/>
        <v>-0.01277526207</v>
      </c>
      <c r="I34" s="30"/>
      <c r="J34" s="40">
        <v>0.12462761232621337</v>
      </c>
      <c r="K34" s="40">
        <v>0.12624036608691092</v>
      </c>
      <c r="L34" s="40">
        <v>0.12426328306270795</v>
      </c>
      <c r="M34" s="40">
        <v>0.1287407612410091</v>
      </c>
      <c r="N34" s="40">
        <v>0.13496206558208554</v>
      </c>
      <c r="O34" s="40">
        <v>0.13779123540948768</v>
      </c>
      <c r="P34" s="40">
        <v>0.1363291062023002</v>
      </c>
      <c r="Q34" s="40">
        <v>0.1365529988926646</v>
      </c>
      <c r="R34" s="40">
        <v>0.13457031245097356</v>
      </c>
      <c r="S34" s="40">
        <v>0.13489727745766047</v>
      </c>
      <c r="T34" s="40">
        <v>0.1388756642405181</v>
      </c>
      <c r="U34" s="40">
        <v>0.1331551579555085</v>
      </c>
      <c r="V34" s="40">
        <v>0.13806866398610895</v>
      </c>
      <c r="W34" s="40">
        <v>0.14046397343265973</v>
      </c>
      <c r="X34" s="31">
        <v>0.14114298140151393</v>
      </c>
      <c r="Y34" s="31">
        <v>0.14054314529489312</v>
      </c>
      <c r="Z34" s="31">
        <v>0.14355006648634805</v>
      </c>
      <c r="AA34" s="31">
        <v>0.1685827729504796</v>
      </c>
      <c r="AB34" s="31">
        <v>0.16329756534760007</v>
      </c>
      <c r="AC34" s="31">
        <v>0.15470998892589352</v>
      </c>
      <c r="AD34" s="31">
        <v>0.1440632905081808</v>
      </c>
      <c r="AE34" s="31">
        <v>0.14839142658758786</v>
      </c>
      <c r="AF34" s="31">
        <v>0.14949493697244698</v>
      </c>
      <c r="AG34" s="31">
        <v>0.15072310753486343</v>
      </c>
      <c r="AH34" s="31">
        <v>0.1509621425760944</v>
      </c>
      <c r="AI34" s="31">
        <v>0.1463971126822714</v>
      </c>
      <c r="AJ34" s="31">
        <v>0.14097161545645362</v>
      </c>
      <c r="AK34" s="31">
        <v>0.13128643294983325</v>
      </c>
      <c r="AL34" s="31">
        <v>0.1313264404392851</v>
      </c>
      <c r="AM34" s="31">
        <v>0.14557871834457037</v>
      </c>
      <c r="AN34" s="31">
        <v>0.15379954840170873</v>
      </c>
      <c r="AO34" s="31">
        <v>0.15285800635723354</v>
      </c>
      <c r="AP34" s="31">
        <v>0.15305746983629837</v>
      </c>
      <c r="AQ34" s="31">
        <v>0.15239949208227332</v>
      </c>
      <c r="AR34" s="31">
        <v>0.14991345991758892</v>
      </c>
      <c r="AS34" s="31">
        <v>0.15748073617462177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30">J35</f>
        <v>0.02172236304</v>
      </c>
      <c r="G35" s="55">
        <f t="shared" si="30"/>
        <v>0.03029008785</v>
      </c>
      <c r="H35" s="32">
        <f t="shared" si="25"/>
        <v>-0.2828557268</v>
      </c>
      <c r="I35" s="30"/>
      <c r="J35" s="40">
        <v>0.021722363035522507</v>
      </c>
      <c r="K35" s="40">
        <v>0.030290087847310004</v>
      </c>
      <c r="L35" s="40">
        <v>0.030767699570547147</v>
      </c>
      <c r="M35" s="40">
        <v>0.02750803083268059</v>
      </c>
      <c r="N35" s="40">
        <v>0.025386929036561257</v>
      </c>
      <c r="O35" s="40">
        <v>0.029357525242295294</v>
      </c>
      <c r="P35" s="40">
        <v>0.027384944778478873</v>
      </c>
      <c r="Q35" s="40">
        <v>0.02673593666244256</v>
      </c>
      <c r="R35" s="40">
        <v>0.026400358397595</v>
      </c>
      <c r="S35" s="40">
        <v>0.02909549264676823</v>
      </c>
      <c r="T35" s="40">
        <v>0.029628984477040897</v>
      </c>
      <c r="U35" s="40">
        <v>0.03130560629167234</v>
      </c>
      <c r="V35" s="40">
        <v>0.034831546726586886</v>
      </c>
      <c r="W35" s="40">
        <v>0.039274888960900506</v>
      </c>
      <c r="X35" s="31">
        <v>0.03799984199866283</v>
      </c>
      <c r="Y35" s="31">
        <v>0.045183294766403904</v>
      </c>
      <c r="Z35" s="31">
        <v>0.04747537002091489</v>
      </c>
      <c r="AA35" s="31">
        <v>0.04447232282513325</v>
      </c>
      <c r="AB35" s="31">
        <v>0.0436734163922869</v>
      </c>
      <c r="AC35" s="31">
        <v>0.040587027314653974</v>
      </c>
      <c r="AD35" s="31">
        <v>0.04099458531500086</v>
      </c>
      <c r="AE35" s="31">
        <v>0.040914228926243856</v>
      </c>
      <c r="AF35" s="31">
        <v>0.04251318381016383</v>
      </c>
      <c r="AG35" s="31">
        <v>0.042306598490466814</v>
      </c>
      <c r="AH35" s="31">
        <v>0.04875319418973854</v>
      </c>
      <c r="AI35" s="31">
        <v>0.0489872786936781</v>
      </c>
      <c r="AJ35" s="31">
        <v>0.05433263163686276</v>
      </c>
      <c r="AK35" s="31">
        <v>0.045051372882373895</v>
      </c>
      <c r="AL35" s="31">
        <v>0.046923189413260166</v>
      </c>
      <c r="AM35" s="31">
        <v>0.02839291577837623</v>
      </c>
      <c r="AN35" s="31">
        <v>0.002684549864880208</v>
      </c>
      <c r="AO35" s="31">
        <v>0.003279698036161168</v>
      </c>
      <c r="AP35" s="31">
        <v>0.002745467347941163</v>
      </c>
      <c r="AQ35" s="31">
        <v>0.002849597444041382</v>
      </c>
      <c r="AR35" s="31">
        <v>0.0025567514852708833</v>
      </c>
      <c r="AS35" s="31">
        <v>0.0026646795645203776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1">J36</f>
        <v>0.08057342283</v>
      </c>
      <c r="G36" s="55">
        <f t="shared" si="31"/>
        <v>0.08204729309</v>
      </c>
      <c r="H36" s="32">
        <f t="shared" si="25"/>
        <v>-0.01796366702</v>
      </c>
      <c r="I36" s="30"/>
      <c r="J36" s="40">
        <v>0.08057342283315379</v>
      </c>
      <c r="K36" s="40">
        <v>0.08204729308604926</v>
      </c>
      <c r="L36" s="40">
        <v>0.07974385718675601</v>
      </c>
      <c r="M36" s="40">
        <v>0.06656355485805435</v>
      </c>
      <c r="N36" s="40">
        <v>0.05500027715061763</v>
      </c>
      <c r="O36" s="40">
        <v>0.04576643014063731</v>
      </c>
      <c r="P36" s="40">
        <v>0.040278560810770296</v>
      </c>
      <c r="Q36" s="40">
        <v>0.03900435174953526</v>
      </c>
      <c r="R36" s="40">
        <v>0.039748658505530526</v>
      </c>
      <c r="S36" s="40">
        <v>0.03645973114848503</v>
      </c>
      <c r="T36" s="40">
        <v>0.031503627262024415</v>
      </c>
      <c r="U36" s="40">
        <v>0.031085147593864017</v>
      </c>
      <c r="V36" s="40">
        <v>0.029849217865940577</v>
      </c>
      <c r="W36" s="40">
        <v>0.02543254450605045</v>
      </c>
      <c r="X36" s="31">
        <v>0.02498326284346044</v>
      </c>
      <c r="Y36" s="31">
        <v>0.030781804314179075</v>
      </c>
      <c r="Z36" s="31">
        <v>0.029122109280091527</v>
      </c>
      <c r="AA36" s="31">
        <v>0.021472378989409787</v>
      </c>
      <c r="AB36" s="31">
        <v>0.016193345313558004</v>
      </c>
      <c r="AC36" s="31">
        <v>0.011571038164516946</v>
      </c>
      <c r="AD36" s="31">
        <v>0.004079457506905693</v>
      </c>
      <c r="AE36" s="31">
        <v>0.0023565130784303366</v>
      </c>
      <c r="AF36" s="31">
        <v>4.4882259814837147E-4</v>
      </c>
      <c r="AG36" s="31">
        <v>1.3690641592928982E-4</v>
      </c>
      <c r="AH36" s="31">
        <v>6.120134608133396E-5</v>
      </c>
      <c r="AI36" s="31">
        <v>6.54925557909521E-6</v>
      </c>
      <c r="AJ36" s="31">
        <v>8.197487062214606E-6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2">J37</f>
        <v>0.1200370377</v>
      </c>
      <c r="G37" s="55">
        <f t="shared" si="32"/>
        <v>0.1210850426</v>
      </c>
      <c r="H37" s="56">
        <f t="shared" si="25"/>
        <v>-0.008655114566</v>
      </c>
      <c r="I37" s="30"/>
      <c r="J37" s="40">
        <v>0.12003703770266402</v>
      </c>
      <c r="K37" s="40">
        <v>0.121085042618815</v>
      </c>
      <c r="L37" s="40">
        <v>0.11607349399517289</v>
      </c>
      <c r="M37" s="40">
        <v>0.13381160089652533</v>
      </c>
      <c r="N37" s="40">
        <v>0.14226036517982865</v>
      </c>
      <c r="O37" s="40">
        <v>0.149552279209873</v>
      </c>
      <c r="P37" s="40">
        <v>0.15942280278079135</v>
      </c>
      <c r="Q37" s="40">
        <v>0.14349453119106584</v>
      </c>
      <c r="R37" s="40">
        <v>0.13817804755360025</v>
      </c>
      <c r="S37" s="40">
        <v>0.14317462553507862</v>
      </c>
      <c r="T37" s="40">
        <v>0.1550373320744398</v>
      </c>
      <c r="U37" s="40">
        <v>0.15027062841919944</v>
      </c>
      <c r="V37" s="40">
        <v>0.15897315278370333</v>
      </c>
      <c r="W37" s="40">
        <v>0.1665002137657667</v>
      </c>
      <c r="X37" s="31">
        <v>0.16261417070165354</v>
      </c>
      <c r="Y37" s="31">
        <v>0.15947782971197363</v>
      </c>
      <c r="Z37" s="31">
        <v>0.16062361191445806</v>
      </c>
      <c r="AA37" s="31">
        <v>0.1640670731381326</v>
      </c>
      <c r="AB37" s="31">
        <v>0.16707307864687573</v>
      </c>
      <c r="AC37" s="31">
        <v>0.16998305665962776</v>
      </c>
      <c r="AD37" s="31">
        <v>0.19472658571594745</v>
      </c>
      <c r="AE37" s="31">
        <v>0.1948483196756066</v>
      </c>
      <c r="AF37" s="31">
        <v>0.17948549446515588</v>
      </c>
      <c r="AG37" s="31">
        <v>0.17191032832292077</v>
      </c>
      <c r="AH37" s="31">
        <v>0.17871445449479914</v>
      </c>
      <c r="AI37" s="31">
        <v>0.18045800374031665</v>
      </c>
      <c r="AJ37" s="31">
        <v>0.1864361002436209</v>
      </c>
      <c r="AK37" s="31">
        <v>0.20386471175689982</v>
      </c>
      <c r="AL37" s="31">
        <v>0.19016085946880149</v>
      </c>
      <c r="AM37" s="31">
        <v>0.19628829410666004</v>
      </c>
      <c r="AN37" s="31">
        <v>0.20635419346454317</v>
      </c>
      <c r="AO37" s="31">
        <v>0.20343616927574648</v>
      </c>
      <c r="AP37" s="31">
        <v>0.201665160341016</v>
      </c>
      <c r="AQ37" s="31">
        <v>0.20836694680610135</v>
      </c>
      <c r="AR37" s="31">
        <v>0.20610536810775337</v>
      </c>
      <c r="AS37" s="31">
        <v>0.2058112254277251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3">J40</f>
        <v>1</v>
      </c>
      <c r="G40" s="55">
        <f t="shared" si="33"/>
        <v>1</v>
      </c>
      <c r="H40" s="32">
        <f t="shared" ref="H40:H48" si="35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>
        <v>1.0</v>
      </c>
      <c r="AO40" s="31">
        <v>1.0</v>
      </c>
      <c r="AP40" s="31">
        <v>1.0</v>
      </c>
      <c r="AQ40" s="31">
        <v>1.0</v>
      </c>
      <c r="AR40" s="31">
        <v>1.0</v>
      </c>
      <c r="AS40" s="31">
        <v>1.0</v>
      </c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4">J41</f>
        <v>0.4993201061</v>
      </c>
      <c r="G41" s="55">
        <f t="shared" si="34"/>
        <v>0.4689598405</v>
      </c>
      <c r="H41" s="32">
        <f t="shared" si="35"/>
        <v>0.06473958519</v>
      </c>
      <c r="I41" s="30"/>
      <c r="J41" s="40">
        <v>0.4993201060670914</v>
      </c>
      <c r="K41" s="40">
        <v>0.4689598405215055</v>
      </c>
      <c r="L41" s="40">
        <v>0.4869629316401964</v>
      </c>
      <c r="M41" s="40">
        <v>0.4826143507670055</v>
      </c>
      <c r="N41" s="40">
        <v>0.5068178859948576</v>
      </c>
      <c r="O41" s="40">
        <v>0.5091745678275456</v>
      </c>
      <c r="P41" s="40">
        <v>0.5259269336756593</v>
      </c>
      <c r="Q41" s="40">
        <v>0.5413763442810621</v>
      </c>
      <c r="R41" s="40">
        <v>0.5256568667497159</v>
      </c>
      <c r="S41" s="40">
        <v>0.521125248618446</v>
      </c>
      <c r="T41" s="40">
        <v>0.5159666670810289</v>
      </c>
      <c r="U41" s="40">
        <v>0.5241397037539575</v>
      </c>
      <c r="V41" s="40">
        <v>0.5392752357627115</v>
      </c>
      <c r="W41" s="40">
        <v>0.5477774225958576</v>
      </c>
      <c r="X41" s="31">
        <v>0.5554864311908385</v>
      </c>
      <c r="Y41" s="31">
        <v>0.5566826185362471</v>
      </c>
      <c r="Z41" s="31">
        <v>0.5602631451086337</v>
      </c>
      <c r="AA41" s="31">
        <v>0.5695460658975792</v>
      </c>
      <c r="AB41" s="31">
        <v>0.5798998477688537</v>
      </c>
      <c r="AC41" s="31">
        <v>0.5819070813323552</v>
      </c>
      <c r="AD41" s="31">
        <v>0.5815377165759248</v>
      </c>
      <c r="AE41" s="31">
        <v>0.591142225890016</v>
      </c>
      <c r="AF41" s="31">
        <v>0.588383746369765</v>
      </c>
      <c r="AG41" s="31">
        <v>0.5861300821448565</v>
      </c>
      <c r="AH41" s="31">
        <v>0.5620902026133175</v>
      </c>
      <c r="AI41" s="31">
        <v>0.5591152871628742</v>
      </c>
      <c r="AJ41" s="31">
        <v>0.5618756975293674</v>
      </c>
      <c r="AK41" s="31">
        <v>0.5534668730936765</v>
      </c>
      <c r="AL41" s="31">
        <v>0.5603344795887448</v>
      </c>
      <c r="AM41" s="31">
        <v>0.5795743889511071</v>
      </c>
      <c r="AN41" s="31">
        <v>0.5775981339489908</v>
      </c>
      <c r="AO41" s="31">
        <v>0.5976010552198594</v>
      </c>
      <c r="AP41" s="31">
        <v>0.5961572548941219</v>
      </c>
      <c r="AQ41" s="31">
        <v>0.583629841487808</v>
      </c>
      <c r="AR41" s="31">
        <v>0.5746579885143417</v>
      </c>
      <c r="AS41" s="31">
        <v>0.5782786269741887</v>
      </c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6">J42</f>
        <v>0.1497606693</v>
      </c>
      <c r="G42" s="55">
        <f t="shared" si="36"/>
        <v>0.1631791751</v>
      </c>
      <c r="H42" s="32">
        <f t="shared" si="35"/>
        <v>-0.08223172974</v>
      </c>
      <c r="I42" s="30"/>
      <c r="J42" s="40">
        <v>0.14976066931570148</v>
      </c>
      <c r="K42" s="40">
        <v>0.16317917514556485</v>
      </c>
      <c r="L42" s="40">
        <v>0.15222784636785072</v>
      </c>
      <c r="M42" s="40">
        <v>0.14241273647007338</v>
      </c>
      <c r="N42" s="40">
        <v>0.15351372030725918</v>
      </c>
      <c r="O42" s="40">
        <v>0.1482977341824931</v>
      </c>
      <c r="P42" s="40">
        <v>0.13387772435617573</v>
      </c>
      <c r="Q42" s="40">
        <v>0.12061333272003989</v>
      </c>
      <c r="R42" s="40">
        <v>0.12650660895688054</v>
      </c>
      <c r="S42" s="40">
        <v>0.11758516973476485</v>
      </c>
      <c r="T42" s="40">
        <v>0.11804073945785454</v>
      </c>
      <c r="U42" s="40">
        <v>0.12238024915840905</v>
      </c>
      <c r="V42" s="40">
        <v>0.08762338571121535</v>
      </c>
      <c r="W42" s="40">
        <v>0.07703070806762082</v>
      </c>
      <c r="X42" s="31">
        <v>0.07323028260807837</v>
      </c>
      <c r="Y42" s="31">
        <v>0.07913568793928819</v>
      </c>
      <c r="Z42" s="31">
        <v>0.08445866550533562</v>
      </c>
      <c r="AA42" s="31">
        <v>0.0889761981812296</v>
      </c>
      <c r="AB42" s="31">
        <v>0.08583647523997028</v>
      </c>
      <c r="AC42" s="31">
        <v>0.08501736664831776</v>
      </c>
      <c r="AD42" s="31">
        <v>0.08275272566560274</v>
      </c>
      <c r="AE42" s="31">
        <v>0.08560590386649136</v>
      </c>
      <c r="AF42" s="31">
        <v>0.0924899235256151</v>
      </c>
      <c r="AG42" s="31">
        <v>0.09321910129647358</v>
      </c>
      <c r="AH42" s="31">
        <v>0.10484874043497354</v>
      </c>
      <c r="AI42" s="31">
        <v>0.109652780466913</v>
      </c>
      <c r="AJ42" s="31">
        <v>0.114923340705785</v>
      </c>
      <c r="AK42" s="31">
        <v>0.11466636171260502</v>
      </c>
      <c r="AL42" s="31">
        <v>0.11406558527611066</v>
      </c>
      <c r="AM42" s="31">
        <v>0.10266546244630582</v>
      </c>
      <c r="AN42" s="31">
        <v>0.10071687092333415</v>
      </c>
      <c r="AO42" s="31">
        <v>0.10070288701529731</v>
      </c>
      <c r="AP42" s="31">
        <v>0.10746108138167793</v>
      </c>
      <c r="AQ42" s="31">
        <v>0.11549134849076152</v>
      </c>
      <c r="AR42" s="31">
        <v>0.1167861318248847</v>
      </c>
      <c r="AS42" s="31">
        <v>0.11305807867704676</v>
      </c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37">J43</f>
        <v>0.2260658391</v>
      </c>
      <c r="G43" s="55">
        <f t="shared" si="37"/>
        <v>0.2291163399</v>
      </c>
      <c r="H43" s="32">
        <f t="shared" si="35"/>
        <v>-0.01331419972</v>
      </c>
      <c r="I43" s="30"/>
      <c r="J43" s="40">
        <v>0.22606583914971234</v>
      </c>
      <c r="K43" s="40">
        <v>0.22911633985825683</v>
      </c>
      <c r="L43" s="40">
        <v>0.2199678091548956</v>
      </c>
      <c r="M43" s="40">
        <v>0.22757860032819952</v>
      </c>
      <c r="N43" s="40">
        <v>0.21731355722628215</v>
      </c>
      <c r="O43" s="40">
        <v>0.22343670701619395</v>
      </c>
      <c r="P43" s="40">
        <v>0.21754586563319875</v>
      </c>
      <c r="Q43" s="40">
        <v>0.21524753096110966</v>
      </c>
      <c r="R43" s="40">
        <v>0.20931357978691054</v>
      </c>
      <c r="S43" s="40">
        <v>0.21040282352796857</v>
      </c>
      <c r="T43" s="40">
        <v>0.215816192948716</v>
      </c>
      <c r="U43" s="40">
        <v>0.20600024649749857</v>
      </c>
      <c r="V43" s="40">
        <v>0.23388488477145822</v>
      </c>
      <c r="W43" s="40">
        <v>0.22443598824714694</v>
      </c>
      <c r="X43" s="31">
        <v>0.22524240938505527</v>
      </c>
      <c r="Y43" s="31">
        <v>0.22753634757661115</v>
      </c>
      <c r="Z43" s="31">
        <v>0.22065789824074494</v>
      </c>
      <c r="AA43" s="31">
        <v>0.21142478129679024</v>
      </c>
      <c r="AB43" s="31">
        <v>0.20762522084206017</v>
      </c>
      <c r="AC43" s="31">
        <v>0.20311649612983748</v>
      </c>
      <c r="AD43" s="31">
        <v>0.21076886141168233</v>
      </c>
      <c r="AE43" s="31">
        <v>0.20988162798036772</v>
      </c>
      <c r="AF43" s="31">
        <v>0.20110809205127847</v>
      </c>
      <c r="AG43" s="31">
        <v>0.20524962766114976</v>
      </c>
      <c r="AH43" s="31">
        <v>0.21823455135028494</v>
      </c>
      <c r="AI43" s="31">
        <v>0.223605086027172</v>
      </c>
      <c r="AJ43" s="31">
        <v>0.21809252677428964</v>
      </c>
      <c r="AK43" s="31">
        <v>0.22996508029024595</v>
      </c>
      <c r="AL43" s="31">
        <v>0.22919345388150553</v>
      </c>
      <c r="AM43" s="31">
        <v>0.2328030591252272</v>
      </c>
      <c r="AN43" s="31">
        <v>0.22915788741492601</v>
      </c>
      <c r="AO43" s="31">
        <v>0.22937239655955557</v>
      </c>
      <c r="AP43" s="31">
        <v>0.23131285890369666</v>
      </c>
      <c r="AQ43" s="31">
        <v>0.2397631970242413</v>
      </c>
      <c r="AR43" s="31">
        <v>0.2516021704720471</v>
      </c>
      <c r="AS43" s="31">
        <v>0.2561390840609291</v>
      </c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38">J44</f>
        <v>0.02955172319</v>
      </c>
      <c r="G44" s="55">
        <f t="shared" si="38"/>
        <v>0.03483261207</v>
      </c>
      <c r="H44" s="32">
        <f t="shared" si="35"/>
        <v>-0.1516076046</v>
      </c>
      <c r="I44" s="30"/>
      <c r="J44" s="40">
        <v>0.029551723194687306</v>
      </c>
      <c r="K44" s="40">
        <v>0.03483261207167117</v>
      </c>
      <c r="L44" s="40">
        <v>0.029177930994320464</v>
      </c>
      <c r="M44" s="40">
        <v>0.030247075372893246</v>
      </c>
      <c r="N44" s="40">
        <v>0.013683982026816406</v>
      </c>
      <c r="O44" s="40">
        <v>0.013445972466012663</v>
      </c>
      <c r="P44" s="40">
        <v>0.02220180967155928</v>
      </c>
      <c r="Q44" s="40">
        <v>0.024023298329245314</v>
      </c>
      <c r="R44" s="40">
        <v>0.03287780814373498</v>
      </c>
      <c r="S44" s="40">
        <v>0.04086982030185676</v>
      </c>
      <c r="T44" s="40">
        <v>0.040598921939496505</v>
      </c>
      <c r="U44" s="40">
        <v>0.04373907343532414</v>
      </c>
      <c r="V44" s="40">
        <v>0.04075272416182908</v>
      </c>
      <c r="W44" s="40">
        <v>0.047964909106780744</v>
      </c>
      <c r="X44" s="31">
        <v>0.04452344374390169</v>
      </c>
      <c r="Y44" s="31">
        <v>0.046135152453688155</v>
      </c>
      <c r="Z44" s="31">
        <v>0.04933914624587201</v>
      </c>
      <c r="AA44" s="31">
        <v>0.05006122091985929</v>
      </c>
      <c r="AB44" s="31">
        <v>0.04945176934604705</v>
      </c>
      <c r="AC44" s="31">
        <v>0.052739104872515874</v>
      </c>
      <c r="AD44" s="31">
        <v>0.049792496021509175</v>
      </c>
      <c r="AE44" s="31">
        <v>0.047543892716717565</v>
      </c>
      <c r="AF44" s="31">
        <v>0.056264318622486216</v>
      </c>
      <c r="AG44" s="31">
        <v>0.05806171500826595</v>
      </c>
      <c r="AH44" s="31">
        <v>0.05889184443416541</v>
      </c>
      <c r="AI44" s="31">
        <v>0.05299614265242822</v>
      </c>
      <c r="AJ44" s="31">
        <v>0.05120486893706579</v>
      </c>
      <c r="AK44" s="31">
        <v>0.04850820007460217</v>
      </c>
      <c r="AL44" s="31">
        <v>0.04449088984269729</v>
      </c>
      <c r="AM44" s="31">
        <v>0.038398787339285124</v>
      </c>
      <c r="AN44" s="31">
        <v>0.04963068339357383</v>
      </c>
      <c r="AO44" s="31">
        <v>0.03195341686006131</v>
      </c>
      <c r="AP44" s="31">
        <v>0.027173686530161372</v>
      </c>
      <c r="AQ44" s="31">
        <v>0.024706670564891998</v>
      </c>
      <c r="AR44" s="31">
        <v>0.022086559889734236</v>
      </c>
      <c r="AS44" s="31">
        <v>0.018514843921896687</v>
      </c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39">J45</f>
        <v>0.05155431385</v>
      </c>
      <c r="G45" s="55">
        <f t="shared" si="39"/>
        <v>0.05735991326</v>
      </c>
      <c r="H45" s="32">
        <f t="shared" si="35"/>
        <v>-0.1012135318</v>
      </c>
      <c r="I45" s="30"/>
      <c r="J45" s="40">
        <v>0.05155431385315697</v>
      </c>
      <c r="K45" s="40">
        <v>0.057359913257493345</v>
      </c>
      <c r="L45" s="40">
        <v>0.06051215747185412</v>
      </c>
      <c r="M45" s="40">
        <v>0.06420112022578148</v>
      </c>
      <c r="N45" s="40">
        <v>0.06585591867651736</v>
      </c>
      <c r="O45" s="40">
        <v>0.06417408377356136</v>
      </c>
      <c r="P45" s="40">
        <v>0.06664544531100634</v>
      </c>
      <c r="Q45" s="40">
        <v>0.07017511560788897</v>
      </c>
      <c r="R45" s="40">
        <v>0.07281251297144369</v>
      </c>
      <c r="S45" s="40">
        <v>0.07607295753206071</v>
      </c>
      <c r="T45" s="40">
        <v>0.07624029272693486</v>
      </c>
      <c r="U45" s="40">
        <v>0.07497014301739338</v>
      </c>
      <c r="V45" s="40">
        <v>0.07281864641420013</v>
      </c>
      <c r="W45" s="40">
        <v>0.07731699895900693</v>
      </c>
      <c r="X45" s="31">
        <v>0.08059985716299309</v>
      </c>
      <c r="Y45" s="31">
        <v>0.07844577635982869</v>
      </c>
      <c r="Z45" s="31">
        <v>0.07497890843519077</v>
      </c>
      <c r="AA45" s="31">
        <v>0.07176789701527661</v>
      </c>
      <c r="AB45" s="31">
        <v>0.06913336374451007</v>
      </c>
      <c r="AC45" s="31">
        <v>0.06968165908056574</v>
      </c>
      <c r="AD45" s="31">
        <v>0.06714659209322697</v>
      </c>
      <c r="AE45" s="31">
        <v>0.06225049058464109</v>
      </c>
      <c r="AF45" s="31">
        <v>0.060347604865801124</v>
      </c>
      <c r="AG45" s="31">
        <v>0.056465112064215596</v>
      </c>
      <c r="AH45" s="31">
        <v>0.055796799954859325</v>
      </c>
      <c r="AI45" s="31">
        <v>0.05336248887087834</v>
      </c>
      <c r="AJ45" s="31">
        <v>0.05390313886319422</v>
      </c>
      <c r="AK45" s="31">
        <v>0.05339341906492002</v>
      </c>
      <c r="AL45" s="31">
        <v>0.051915591410941354</v>
      </c>
      <c r="AM45" s="31">
        <v>0.04655830213807472</v>
      </c>
      <c r="AN45" s="31">
        <v>0.042896424319175286</v>
      </c>
      <c r="AO45" s="31">
        <v>0.04037024434522626</v>
      </c>
      <c r="AP45" s="31">
        <v>0.03789511829034215</v>
      </c>
      <c r="AQ45" s="31">
        <v>0.03640894243229704</v>
      </c>
      <c r="AR45" s="31">
        <v>0.03486714929899213</v>
      </c>
      <c r="AS45" s="31">
        <v>0.0340093663659386</v>
      </c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40">J46</f>
        <v>0.01798838925</v>
      </c>
      <c r="G46" s="55">
        <f t="shared" si="40"/>
        <v>0.02102960423</v>
      </c>
      <c r="H46" s="32">
        <f t="shared" si="35"/>
        <v>-0.1446158924</v>
      </c>
      <c r="I46" s="30"/>
      <c r="J46" s="40">
        <v>0.017988389245508985</v>
      </c>
      <c r="K46" s="40">
        <v>0.021029604227663028</v>
      </c>
      <c r="L46" s="40">
        <v>0.02690457541528427</v>
      </c>
      <c r="M46" s="40">
        <v>0.030783985012523715</v>
      </c>
      <c r="N46" s="40">
        <v>0.027671578808096165</v>
      </c>
      <c r="O46" s="40">
        <v>0.027569212393142323</v>
      </c>
      <c r="P46" s="40">
        <v>0.023985117636426977</v>
      </c>
      <c r="Q46" s="40">
        <v>0.023254503540454545</v>
      </c>
      <c r="R46" s="40">
        <v>0.027923378039778995</v>
      </c>
      <c r="S46" s="40">
        <v>0.029106448733358756</v>
      </c>
      <c r="T46" s="40">
        <v>0.028257836295526022</v>
      </c>
      <c r="U46" s="40">
        <v>0.023292244741308303</v>
      </c>
      <c r="V46" s="40">
        <v>0.019033938220687312</v>
      </c>
      <c r="W46" s="40">
        <v>0.017896476598802263</v>
      </c>
      <c r="X46" s="31">
        <v>0.014710955605401248</v>
      </c>
      <c r="Y46" s="31">
        <v>0.010245315633186262</v>
      </c>
      <c r="Z46" s="31">
        <v>0.009714732790809423</v>
      </c>
      <c r="AA46" s="31">
        <v>0.007970473682833127</v>
      </c>
      <c r="AB46" s="31">
        <v>0.00805332305855864</v>
      </c>
      <c r="AC46" s="31">
        <v>0.007538291936407899</v>
      </c>
      <c r="AD46" s="31">
        <v>0.008001608232054022</v>
      </c>
      <c r="AE46" s="31">
        <v>0.0035758589617660937</v>
      </c>
      <c r="AF46" s="31">
        <v>0.0014063033118669474</v>
      </c>
      <c r="AG46" s="31">
        <v>8.743027837417568E-4</v>
      </c>
      <c r="AH46" s="31">
        <v>3.465066854880629E-4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>
        <v>0.0</v>
      </c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1">J47</f>
        <v>0.0127380059</v>
      </c>
      <c r="G47" s="55">
        <f t="shared" si="41"/>
        <v>0.01348143417</v>
      </c>
      <c r="H47" s="32">
        <f t="shared" si="35"/>
        <v>-0.05514459774</v>
      </c>
      <c r="I47" s="30"/>
      <c r="J47" s="40">
        <v>0.01273800590438763</v>
      </c>
      <c r="K47" s="40">
        <v>0.013481434168533049</v>
      </c>
      <c r="L47" s="40">
        <v>0.013676597825249473</v>
      </c>
      <c r="M47" s="40">
        <v>0.012698448983539607</v>
      </c>
      <c r="N47" s="40">
        <v>0.01193445119688396</v>
      </c>
      <c r="O47" s="40">
        <v>0.009901420075034865</v>
      </c>
      <c r="P47" s="40">
        <v>0.0070866506311280915</v>
      </c>
      <c r="Q47" s="40">
        <v>0.0037652973779718226</v>
      </c>
      <c r="R47" s="40">
        <v>0.003178800163345968</v>
      </c>
      <c r="S47" s="40">
        <v>0.002722022529753135</v>
      </c>
      <c r="T47" s="40">
        <v>0.0024100200052517406</v>
      </c>
      <c r="U47" s="40">
        <v>0.0026290663803106395</v>
      </c>
      <c r="V47" s="40">
        <v>0.003397404563399412</v>
      </c>
      <c r="W47" s="40">
        <v>0.003286066730017029</v>
      </c>
      <c r="X47" s="31">
        <v>0.002865411928864441</v>
      </c>
      <c r="Y47" s="31">
        <v>0.0014444257404379872</v>
      </c>
      <c r="Z47" s="31">
        <v>5.874825413455596E-4</v>
      </c>
      <c r="AA47" s="31">
        <v>3.020447334266889E-4</v>
      </c>
      <c r="AB47" s="31">
        <v>0.0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2">J48</f>
        <v>0.01302095327</v>
      </c>
      <c r="G48" s="55">
        <f t="shared" si="42"/>
        <v>0.01204108075</v>
      </c>
      <c r="H48" s="32">
        <f t="shared" si="35"/>
        <v>0.08137745613</v>
      </c>
      <c r="I48" s="30"/>
      <c r="J48" s="40">
        <v>0.0130209532697539</v>
      </c>
      <c r="K48" s="40">
        <v>0.01204108074931221</v>
      </c>
      <c r="L48" s="40">
        <v>0.01057015113034892</v>
      </c>
      <c r="M48" s="40">
        <v>0.009463682839983507</v>
      </c>
      <c r="N48" s="40">
        <v>0.003208905763287204</v>
      </c>
      <c r="O48" s="40">
        <v>0.00400030226601615</v>
      </c>
      <c r="P48" s="40">
        <v>0.0027304530848454743</v>
      </c>
      <c r="Q48" s="40">
        <v>0.0015445771822277467</v>
      </c>
      <c r="R48" s="40">
        <v>0.001730445188189397</v>
      </c>
      <c r="S48" s="40">
        <v>0.0021155090217911585</v>
      </c>
      <c r="T48" s="40">
        <v>0.0026693295451914955</v>
      </c>
      <c r="U48" s="40">
        <v>0.002849273015798451</v>
      </c>
      <c r="V48" s="40">
        <v>0.003213780394498993</v>
      </c>
      <c r="W48" s="40">
        <v>0.004291429694767667</v>
      </c>
      <c r="X48" s="31">
        <v>0.0033412083748673603</v>
      </c>
      <c r="Y48" s="31">
        <v>3.7467576071239335E-4</v>
      </c>
      <c r="Z48" s="31">
        <v>2.1132067985223655E-8</v>
      </c>
      <c r="AA48" s="31">
        <v>-4.868172699465769E-5</v>
      </c>
      <c r="AB48" s="31">
        <v>4.79380886907411E-17</v>
      </c>
      <c r="AC48" s="31">
        <v>-1.647169604775505E-17</v>
      </c>
      <c r="AD48" s="31">
        <v>-8.1212861085428E-17</v>
      </c>
      <c r="AE48" s="31">
        <v>2.3283222986490513E-16</v>
      </c>
      <c r="AF48" s="31">
        <v>1.125318714219507E-8</v>
      </c>
      <c r="AG48" s="31">
        <v>5.904129688840064E-8</v>
      </c>
      <c r="AH48" s="31">
        <v>-2.0864547308882731E-4</v>
      </c>
      <c r="AI48" s="31">
        <v>0.0012682148197342578</v>
      </c>
      <c r="AJ48" s="31">
        <v>4.271902979717136E-7</v>
      </c>
      <c r="AK48" s="31">
        <v>6.576395036844088E-8</v>
      </c>
      <c r="AL48" s="31">
        <v>3.6833646034513644E-16</v>
      </c>
      <c r="AM48" s="31">
        <v>6.654670039900919E-17</v>
      </c>
      <c r="AN48" s="31">
        <v>-1.3350612764156627E-16</v>
      </c>
      <c r="AO48" s="31">
        <v>1.314339991492751E-16</v>
      </c>
      <c r="AP48" s="31">
        <v>9.349672468007845E-18</v>
      </c>
      <c r="AQ48" s="31">
        <v>9.69349805562979E-17</v>
      </c>
      <c r="AR48" s="31">
        <v>1.6104048297225655E-16</v>
      </c>
      <c r="AS48" s="31">
        <v>1.3767079279811931E-17</v>
      </c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>
        <f t="shared" ref="F51:G51" si="43">J51</f>
        <v>1</v>
      </c>
      <c r="G51" s="55">
        <f t="shared" si="43"/>
        <v>1</v>
      </c>
      <c r="H51" s="32">
        <f t="shared" ref="H51:H57" si="45">IFERROR(F51/G51-1,"-")</f>
        <v>0</v>
      </c>
      <c r="J51" s="58">
        <v>1.0</v>
      </c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  <c r="AD51" s="59">
        <v>1.0</v>
      </c>
    </row>
    <row r="52">
      <c r="C52" s="60" t="s">
        <v>44</v>
      </c>
      <c r="D52" s="39" t="s">
        <v>10</v>
      </c>
      <c r="F52" s="55">
        <f t="shared" ref="F52:G52" si="44">J52</f>
        <v>0.1609823709</v>
      </c>
      <c r="G52" s="55">
        <f t="shared" si="44"/>
        <v>0.1598863733</v>
      </c>
      <c r="H52" s="32">
        <f t="shared" si="45"/>
        <v>0.006854853028</v>
      </c>
      <c r="J52" s="58">
        <v>0.160982370898893</v>
      </c>
      <c r="K52" s="58">
        <v>0.159886373308747</v>
      </c>
      <c r="L52" s="58">
        <v>0.158009689729336</v>
      </c>
      <c r="M52" s="58">
        <v>0.155041861322296</v>
      </c>
      <c r="N52" s="58">
        <v>0.158525808845624</v>
      </c>
      <c r="O52" s="58">
        <v>0.148114577033341</v>
      </c>
      <c r="P52" s="58">
        <v>0.149914126243845</v>
      </c>
      <c r="Q52" s="58">
        <v>0.153886032089533</v>
      </c>
      <c r="R52" s="58">
        <v>0.149058596874765</v>
      </c>
      <c r="S52" s="58">
        <v>0.144673675147171</v>
      </c>
      <c r="T52" s="58">
        <v>0.136812805616571</v>
      </c>
      <c r="U52" s="58">
        <v>0.150513340809168</v>
      </c>
      <c r="V52" s="58">
        <v>0.155501139750883</v>
      </c>
      <c r="W52" s="58">
        <v>0.153635529109281</v>
      </c>
      <c r="X52" s="31">
        <v>0.166078855469144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  <c r="AD52" s="59">
        <v>0.0</v>
      </c>
    </row>
    <row r="53">
      <c r="C53" s="60" t="s">
        <v>45</v>
      </c>
      <c r="D53" s="39" t="s">
        <v>10</v>
      </c>
      <c r="F53" s="55">
        <f t="shared" ref="F53:G53" si="46">J53</f>
        <v>0.0007799560423</v>
      </c>
      <c r="G53" s="55">
        <f t="shared" si="46"/>
        <v>0.0009955630421</v>
      </c>
      <c r="H53" s="32">
        <f t="shared" si="45"/>
        <v>-0.2165679025</v>
      </c>
      <c r="J53" s="58">
        <v>7.79956042263873E-4</v>
      </c>
      <c r="K53" s="58">
        <v>9.95563042125349E-4</v>
      </c>
      <c r="L53" s="58">
        <v>0.00131582088509149</v>
      </c>
      <c r="M53" s="58">
        <v>0.00131233262611457</v>
      </c>
      <c r="N53" s="58">
        <v>0.0017245189554655</v>
      </c>
      <c r="O53" s="58">
        <v>0.00164341875724197</v>
      </c>
      <c r="P53" s="58">
        <v>0.00166217111104549</v>
      </c>
      <c r="Q53" s="58">
        <v>0.00185796220825345</v>
      </c>
      <c r="R53" s="58">
        <v>0.00179386120621576</v>
      </c>
      <c r="S53" s="58">
        <v>0.00253726521609497</v>
      </c>
      <c r="T53" s="58">
        <v>0.00457276585647813</v>
      </c>
      <c r="U53" s="58">
        <v>0.0060723491553236</v>
      </c>
      <c r="V53" s="58">
        <v>0.00386978000082157</v>
      </c>
      <c r="W53" s="58">
        <v>0.00403869205400339</v>
      </c>
      <c r="X53" s="31">
        <v>0.00465558607188004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  <c r="AD53" s="59">
        <v>0.0</v>
      </c>
    </row>
    <row r="54">
      <c r="C54" s="60" t="s">
        <v>46</v>
      </c>
      <c r="D54" s="39" t="s">
        <v>10</v>
      </c>
      <c r="F54" s="55">
        <f t="shared" ref="F54:G54" si="47">J54</f>
        <v>0.00419742569</v>
      </c>
      <c r="G54" s="55">
        <f t="shared" si="47"/>
        <v>0.004312139108</v>
      </c>
      <c r="H54" s="32">
        <f t="shared" si="45"/>
        <v>-0.02660243914</v>
      </c>
      <c r="J54" s="58">
        <v>0.00419742568989131</v>
      </c>
      <c r="K54" s="58">
        <v>0.00431213910809143</v>
      </c>
      <c r="L54" s="58">
        <v>0.00432669031889962</v>
      </c>
      <c r="M54" s="58">
        <v>0.00437217579853705</v>
      </c>
      <c r="N54" s="58">
        <v>0.00455681495423401</v>
      </c>
      <c r="O54" s="58">
        <v>0.00604845507528177</v>
      </c>
      <c r="P54" s="58">
        <v>0.00692979848593099</v>
      </c>
      <c r="Q54" s="58">
        <v>0.00770670872252787</v>
      </c>
      <c r="R54" s="58">
        <v>0.00767106967929156</v>
      </c>
      <c r="S54" s="58">
        <v>0.010506176021382</v>
      </c>
      <c r="T54" s="58">
        <v>0.0121813819182361</v>
      </c>
      <c r="U54" s="58">
        <v>0.0174267756940288</v>
      </c>
      <c r="V54" s="58">
        <v>0.0205558747334499</v>
      </c>
      <c r="W54" s="58">
        <v>0.0171755981312042</v>
      </c>
      <c r="X54" s="31">
        <v>0.0261937409273138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  <c r="AD54" s="59">
        <v>0.0</v>
      </c>
    </row>
    <row r="55">
      <c r="C55" s="60" t="s">
        <v>47</v>
      </c>
      <c r="D55" s="39" t="s">
        <v>10</v>
      </c>
      <c r="F55" s="55">
        <f t="shared" ref="F55:G55" si="48">J55</f>
        <v>0.1487718538</v>
      </c>
      <c r="G55" s="55">
        <f t="shared" si="48"/>
        <v>0.141230414</v>
      </c>
      <c r="H55" s="32">
        <f t="shared" si="45"/>
        <v>0.0533981286</v>
      </c>
      <c r="J55" s="58">
        <v>0.148771853828023</v>
      </c>
      <c r="K55" s="58">
        <v>0.141230414018484</v>
      </c>
      <c r="L55" s="58">
        <v>0.145555056122294</v>
      </c>
      <c r="M55" s="58">
        <v>0.142553822580216</v>
      </c>
      <c r="N55" s="58">
        <v>0.145317213921612</v>
      </c>
      <c r="O55" s="58">
        <v>0.133589377911438</v>
      </c>
      <c r="P55" s="58">
        <v>0.1329376231132</v>
      </c>
      <c r="Q55" s="58">
        <v>0.136786766156024</v>
      </c>
      <c r="R55" s="58">
        <v>0.133796879749566</v>
      </c>
      <c r="S55" s="58">
        <v>0.126018904767674</v>
      </c>
      <c r="T55" s="58">
        <v>0.114922348149014</v>
      </c>
      <c r="U55" s="58">
        <v>0.121791487656587</v>
      </c>
      <c r="V55" s="58">
        <v>0.125673802981263</v>
      </c>
      <c r="W55" s="58">
        <v>0.126718322680914</v>
      </c>
      <c r="X55" s="31">
        <v>0.129564195812405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  <c r="AD55" s="59">
        <v>0.0</v>
      </c>
    </row>
    <row r="56">
      <c r="C56" s="60" t="s">
        <v>48</v>
      </c>
      <c r="D56" s="39" t="s">
        <v>10</v>
      </c>
      <c r="F56" s="55">
        <f t="shared" ref="F56:G56" si="49">J56</f>
        <v>0.007233135339</v>
      </c>
      <c r="G56" s="55">
        <f t="shared" si="49"/>
        <v>0.007917848041</v>
      </c>
      <c r="H56" s="32">
        <f t="shared" si="45"/>
        <v>-0.08647712085</v>
      </c>
      <c r="J56" s="58">
        <v>0.00723313533871518</v>
      </c>
      <c r="K56" s="58">
        <v>0.00791784804059833</v>
      </c>
      <c r="L56" s="58">
        <v>0.00681212240305159</v>
      </c>
      <c r="M56" s="58">
        <v>0.00680353031742777</v>
      </c>
      <c r="N56" s="58">
        <v>0.00692726101431194</v>
      </c>
      <c r="O56" s="58">
        <v>0.00683332528937894</v>
      </c>
      <c r="P56" s="58">
        <v>0.00838453353366845</v>
      </c>
      <c r="Q56" s="58">
        <v>0.0075345950027277</v>
      </c>
      <c r="R56" s="58">
        <v>0.00579678623969142</v>
      </c>
      <c r="S56" s="58">
        <v>0.00561132914202013</v>
      </c>
      <c r="T56" s="58">
        <v>0.00513630969284255</v>
      </c>
      <c r="U56" s="58">
        <v>0.00522272830322793</v>
      </c>
      <c r="V56" s="58">
        <v>0.00540168203534899</v>
      </c>
      <c r="W56" s="58">
        <v>0.00570291624315957</v>
      </c>
      <c r="X56" s="31">
        <v>0.00566533265754546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  <c r="AD56" s="59">
        <v>0.0</v>
      </c>
    </row>
    <row r="57">
      <c r="C57" s="60" t="s">
        <v>49</v>
      </c>
      <c r="D57" s="39" t="s">
        <v>10</v>
      </c>
      <c r="F57" s="55">
        <f t="shared" ref="F57:G57" si="50">J57</f>
        <v>0.8390176291</v>
      </c>
      <c r="G57" s="55">
        <f t="shared" si="50"/>
        <v>0.8401136267</v>
      </c>
      <c r="H57" s="32">
        <f t="shared" si="45"/>
        <v>-0.001304582565</v>
      </c>
      <c r="J57" s="58">
        <v>0.839017629101106</v>
      </c>
      <c r="K57" s="58">
        <v>0.840113626691252</v>
      </c>
      <c r="L57" s="58">
        <v>0.841990310270663</v>
      </c>
      <c r="M57" s="58">
        <v>0.844958138677703</v>
      </c>
      <c r="N57" s="58">
        <v>0.841474191154375</v>
      </c>
      <c r="O57" s="58">
        <v>0.851885422966658</v>
      </c>
      <c r="P57" s="58">
        <v>0.850085873756154</v>
      </c>
      <c r="Q57" s="58">
        <v>0.846113967910466</v>
      </c>
      <c r="R57" s="58">
        <v>0.850941403125234</v>
      </c>
      <c r="S57" s="58">
        <v>0.855326324852828</v>
      </c>
      <c r="T57" s="58">
        <v>0.863187194383428</v>
      </c>
      <c r="U57" s="58">
        <v>0.849486659190831</v>
      </c>
      <c r="V57" s="58">
        <v>0.844498860249116</v>
      </c>
      <c r="W57" s="58">
        <v>0.846364470890718</v>
      </c>
      <c r="X57" s="31">
        <v>0.833921144530855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  <c r="AD57" s="59">
        <v>1.0</v>
      </c>
    </row>
    <row r="58">
      <c r="D58" s="3"/>
      <c r="F58" s="4"/>
      <c r="G58" s="4"/>
      <c r="H58" s="5"/>
    </row>
    <row r="59">
      <c r="D59" s="3"/>
      <c r="F59" s="4"/>
      <c r="G59" s="4"/>
      <c r="H59" s="5"/>
    </row>
    <row r="60">
      <c r="C60" s="28" t="s">
        <v>37</v>
      </c>
      <c r="D60" s="79"/>
      <c r="E60" s="80"/>
      <c r="F60" s="81">
        <f t="shared" ref="F60:G60" si="51">F3</f>
        <v>45992</v>
      </c>
      <c r="G60" s="81">
        <f t="shared" si="51"/>
        <v>45962</v>
      </c>
      <c r="H60" s="82" t="s">
        <v>58</v>
      </c>
      <c r="K60" s="83">
        <v>45474.0</v>
      </c>
      <c r="L60" s="84">
        <v>45444.0</v>
      </c>
      <c r="M60" s="82" t="s">
        <v>58</v>
      </c>
    </row>
    <row r="61">
      <c r="C61" s="38" t="s">
        <v>59</v>
      </c>
      <c r="D61" s="85"/>
      <c r="E61" s="86"/>
      <c r="F61" s="87">
        <f t="shared" ref="F61:G61" si="52">F$14*F52</f>
        <v>282367.9045</v>
      </c>
      <c r="G61" s="87">
        <f t="shared" si="52"/>
        <v>288855.7054</v>
      </c>
      <c r="H61" s="88">
        <f t="shared" ref="H61:H66" si="55">F61/G61-1</f>
        <v>-0.02246035251</v>
      </c>
      <c r="K61" s="87">
        <f t="shared" ref="K61:L61" si="53">K$14*K52</f>
        <v>288855.7054</v>
      </c>
      <c r="L61" s="87">
        <f t="shared" si="53"/>
        <v>261359.6792</v>
      </c>
      <c r="M61" s="88">
        <f t="shared" ref="M61:M66" si="57">K61/L61-1</f>
        <v>0.1052037803</v>
      </c>
    </row>
    <row r="62">
      <c r="C62" s="38" t="s">
        <v>60</v>
      </c>
      <c r="D62" s="85"/>
      <c r="E62" s="86"/>
      <c r="F62" s="87">
        <f t="shared" ref="F62:G62" si="54">F$14*F53</f>
        <v>1368.06628</v>
      </c>
      <c r="G62" s="87">
        <f t="shared" si="54"/>
        <v>1798.615222</v>
      </c>
      <c r="H62" s="88">
        <f t="shared" si="55"/>
        <v>-0.2393780155</v>
      </c>
      <c r="K62" s="87">
        <f t="shared" ref="K62:L62" si="56">K$14*K53</f>
        <v>1798.615222</v>
      </c>
      <c r="L62" s="87">
        <f t="shared" si="56"/>
        <v>2176.464779</v>
      </c>
      <c r="M62" s="88">
        <f t="shared" si="57"/>
        <v>-0.1736070164</v>
      </c>
    </row>
    <row r="63">
      <c r="C63" s="38" t="s">
        <v>61</v>
      </c>
      <c r="D63" s="85"/>
      <c r="E63" s="86"/>
      <c r="F63" s="87">
        <f t="shared" ref="F63:G63" si="58">F$14*F54</f>
        <v>7362.41049</v>
      </c>
      <c r="G63" s="87">
        <f t="shared" si="58"/>
        <v>7790.444916</v>
      </c>
      <c r="H63" s="88">
        <f t="shared" si="55"/>
        <v>-0.0549435148</v>
      </c>
      <c r="K63" s="87">
        <f t="shared" ref="K63:L63" si="59">K$14*K54</f>
        <v>7790.444916</v>
      </c>
      <c r="L63" s="87">
        <f t="shared" si="59"/>
        <v>7156.664858</v>
      </c>
      <c r="M63" s="88">
        <f t="shared" si="57"/>
        <v>0.0885580184</v>
      </c>
    </row>
    <row r="64">
      <c r="C64" s="38" t="s">
        <v>62</v>
      </c>
      <c r="D64" s="85"/>
      <c r="E64" s="86"/>
      <c r="F64" s="87">
        <f t="shared" ref="F64:G64" si="60">F$14*F55</f>
        <v>260950.2915</v>
      </c>
      <c r="G64" s="87">
        <f t="shared" si="60"/>
        <v>255151.2679</v>
      </c>
      <c r="H64" s="88">
        <f t="shared" si="55"/>
        <v>0.02272778664</v>
      </c>
      <c r="K64" s="87">
        <f t="shared" ref="K64:L64" si="61">K$14*K55</f>
        <v>255151.2679</v>
      </c>
      <c r="L64" s="87">
        <f t="shared" si="61"/>
        <v>240758.7967</v>
      </c>
      <c r="M64" s="88">
        <f t="shared" si="57"/>
        <v>0.05977962748</v>
      </c>
    </row>
    <row r="65">
      <c r="C65" s="38" t="s">
        <v>63</v>
      </c>
      <c r="D65" s="85"/>
      <c r="E65" s="86"/>
      <c r="F65" s="87">
        <f t="shared" ref="F65:G65" si="62">F$14*F56</f>
        <v>12687.13622</v>
      </c>
      <c r="G65" s="87">
        <f t="shared" si="62"/>
        <v>14304.63106</v>
      </c>
      <c r="H65" s="88">
        <f t="shared" si="55"/>
        <v>-0.1130749079</v>
      </c>
      <c r="K65" s="87">
        <f t="shared" ref="K65:L65" si="63">K$14*K56</f>
        <v>14304.63106</v>
      </c>
      <c r="L65" s="87">
        <f t="shared" si="63"/>
        <v>11267.75281</v>
      </c>
      <c r="M65" s="88">
        <f t="shared" si="57"/>
        <v>0.2695194238</v>
      </c>
    </row>
    <row r="66">
      <c r="C66" s="38" t="s">
        <v>64</v>
      </c>
      <c r="D66" s="85"/>
      <c r="E66" s="86"/>
      <c r="F66" s="87">
        <f t="shared" ref="F66:G66" si="64">F$14*F57</f>
        <v>1471662.073</v>
      </c>
      <c r="G66" s="87">
        <f t="shared" si="64"/>
        <v>1517775.463</v>
      </c>
      <c r="H66" s="88">
        <f t="shared" si="55"/>
        <v>-0.03038222105</v>
      </c>
      <c r="K66" s="87">
        <f t="shared" ref="K66:L66" si="65">K$14*K57</f>
        <v>1517775.463</v>
      </c>
      <c r="L66" s="87">
        <f t="shared" si="65"/>
        <v>1392714.065</v>
      </c>
      <c r="M66" s="88">
        <f t="shared" si="57"/>
        <v>0.08979689424</v>
      </c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3"/>
    </customSheetView>
  </customSheetViews>
  <mergeCells count="1">
    <mergeCell ref="C1:C2"/>
  </mergeCells>
  <conditionalFormatting sqref="H6 H8:H12 H14:H16 H18:H19 H21:H22 H2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67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</row>
    <row r="3" ht="44.25" customHeight="1">
      <c r="C3" s="2" t="s">
        <v>2</v>
      </c>
      <c r="D3" s="3"/>
      <c r="E3" s="10"/>
      <c r="F3" s="11">
        <f t="shared" ref="F3:G3" si="1">J3</f>
        <v>45992</v>
      </c>
      <c r="G3" s="11">
        <f t="shared" si="1"/>
        <v>45962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2">J6</f>
        <v>1351243.556</v>
      </c>
      <c r="G6" s="31">
        <f t="shared" si="2"/>
        <v>1448751.9</v>
      </c>
      <c r="H6" s="32">
        <f>IFERROR(F6/G6-1,"-")</f>
        <v>-0.06730506752</v>
      </c>
      <c r="I6" s="30"/>
      <c r="J6" s="31">
        <v>1351243.5555555555</v>
      </c>
      <c r="K6" s="31">
        <v>1448751.9</v>
      </c>
      <c r="L6" s="31">
        <v>1411650.4516129033</v>
      </c>
      <c r="M6" s="31">
        <v>1367830.9666666666</v>
      </c>
      <c r="N6" s="31">
        <v>1403209.2258064516</v>
      </c>
      <c r="O6" s="31">
        <v>1367349.7096774194</v>
      </c>
      <c r="P6" s="31">
        <v>1313083.8666666667</v>
      </c>
      <c r="Q6" s="31">
        <v>1308597.7419354839</v>
      </c>
      <c r="R6" s="31">
        <v>1272478.0</v>
      </c>
      <c r="S6" s="31">
        <v>1294265.0</v>
      </c>
      <c r="T6" s="31">
        <v>1275059.0</v>
      </c>
      <c r="U6" s="31">
        <v>1274365.9677419355</v>
      </c>
      <c r="V6" s="31">
        <v>1288566.9677419355</v>
      </c>
      <c r="W6" s="31">
        <v>1296346.0</v>
      </c>
      <c r="X6" s="31">
        <v>1243255.0967741935</v>
      </c>
      <c r="Y6" s="31">
        <v>1234538.7666666666</v>
      </c>
      <c r="Z6" s="31">
        <v>1211671.677419355</v>
      </c>
      <c r="AA6" s="31">
        <v>1204534.0967741935</v>
      </c>
      <c r="AB6" s="31">
        <v>1159539.0333333334</v>
      </c>
      <c r="AC6" s="31">
        <v>1160140.8064516129</v>
      </c>
      <c r="AD6" s="31">
        <v>1165476.4</v>
      </c>
      <c r="AE6" s="31">
        <v>1140777.7419354839</v>
      </c>
      <c r="AF6" s="31">
        <v>1134814.7586206896</v>
      </c>
      <c r="AG6" s="31">
        <v>1209516.064516129</v>
      </c>
      <c r="AH6" s="31">
        <v>1143114.8709677418</v>
      </c>
      <c r="AI6" s="31">
        <v>1161777.9666666666</v>
      </c>
      <c r="AJ6" s="31">
        <v>1090560.5161290322</v>
      </c>
      <c r="AK6" s="31">
        <v>1079612.2</v>
      </c>
      <c r="AL6" s="31">
        <v>1060620.8064516129</v>
      </c>
      <c r="AM6" s="31">
        <v>1055658.0322580645</v>
      </c>
      <c r="AN6" s="31">
        <v>1020547.4333333333</v>
      </c>
      <c r="AO6" s="31">
        <v>1083104.4516129033</v>
      </c>
      <c r="AP6" s="31">
        <v>1052834.9666666666</v>
      </c>
      <c r="AQ6" s="31">
        <v>1079281.8387096773</v>
      </c>
      <c r="AR6" s="31">
        <v>1079348.892857143</v>
      </c>
      <c r="AS6" s="31">
        <v>1059871.4516129033</v>
      </c>
      <c r="AT6" s="31">
        <v>1087653.7096774194</v>
      </c>
      <c r="AU6" s="31">
        <v>1106281.2333333334</v>
      </c>
      <c r="AV6" s="31">
        <v>1039521.7741935484</v>
      </c>
      <c r="AW6" s="31">
        <v>1013616.5666666667</v>
      </c>
      <c r="AX6" s="31">
        <v>982522.5806451613</v>
      </c>
      <c r="AY6" s="33">
        <v>944894.5161290322</v>
      </c>
      <c r="AZ6" s="33">
        <v>924118.4</v>
      </c>
      <c r="BA6" s="33">
        <v>923269.6129032258</v>
      </c>
      <c r="BB6" s="33">
        <v>962609.6666666666</v>
      </c>
      <c r="BC6" s="33">
        <v>992194.5483870967</v>
      </c>
      <c r="BD6" s="33">
        <v>982681.5714285715</v>
      </c>
      <c r="BE6" s="33">
        <v>995955.6774193548</v>
      </c>
    </row>
    <row r="7">
      <c r="D7" s="3"/>
      <c r="F7" s="4"/>
      <c r="G7" s="4"/>
      <c r="H7" s="5"/>
      <c r="L7" s="35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3">J8</f>
        <v>192299.1111</v>
      </c>
      <c r="G8" s="31">
        <f t="shared" si="3"/>
        <v>207394.9667</v>
      </c>
      <c r="H8" s="32">
        <f t="shared" ref="H8:H12" si="5">IFERROR(F8/G8-1,"-")</f>
        <v>-0.07278795526</v>
      </c>
      <c r="I8" s="30"/>
      <c r="J8" s="31">
        <v>192299.11111111112</v>
      </c>
      <c r="K8" s="31">
        <v>207394.96666666667</v>
      </c>
      <c r="L8" s="31">
        <v>198471.8064516129</v>
      </c>
      <c r="M8" s="31">
        <v>197583.83333333334</v>
      </c>
      <c r="N8" s="31">
        <v>200955.03225806452</v>
      </c>
      <c r="O8" s="31">
        <v>193739.5483870968</v>
      </c>
      <c r="P8" s="31">
        <v>184699.03333333333</v>
      </c>
      <c r="Q8" s="31">
        <v>181528.48387096773</v>
      </c>
      <c r="R8" s="31">
        <v>180139.3</v>
      </c>
      <c r="S8" s="31">
        <v>185569.96774193548</v>
      </c>
      <c r="T8" s="31">
        <v>179814.42857142858</v>
      </c>
      <c r="U8" s="31">
        <v>180413.0</v>
      </c>
      <c r="V8" s="31">
        <v>187252.87096774194</v>
      </c>
      <c r="W8" s="31">
        <v>186596.63333333333</v>
      </c>
      <c r="X8" s="31">
        <v>173800.16129032258</v>
      </c>
      <c r="Y8" s="31">
        <v>174263.53333333333</v>
      </c>
      <c r="Z8" s="31">
        <v>167660.09677419355</v>
      </c>
      <c r="AA8" s="31">
        <v>162616.16129032258</v>
      </c>
      <c r="AB8" s="31">
        <v>154696.53333333333</v>
      </c>
      <c r="AC8" s="31">
        <v>152278.67741935485</v>
      </c>
      <c r="AD8" s="31">
        <v>148937.73333333334</v>
      </c>
      <c r="AE8" s="31">
        <v>151231.67741935485</v>
      </c>
      <c r="AF8" s="31">
        <v>136731.5172413793</v>
      </c>
      <c r="AG8" s="31">
        <v>156608.0</v>
      </c>
      <c r="AH8" s="31">
        <v>148425.35483870967</v>
      </c>
      <c r="AI8" s="31">
        <v>149278.56666666668</v>
      </c>
      <c r="AJ8" s="36">
        <v>135326.09677419355</v>
      </c>
      <c r="AK8" s="36">
        <v>132046.36666666667</v>
      </c>
      <c r="AL8" s="36">
        <v>130776.29032258065</v>
      </c>
      <c r="AM8" s="36">
        <v>127889.32258064517</v>
      </c>
      <c r="AN8" s="36">
        <v>120800.16666666667</v>
      </c>
      <c r="AO8" s="36">
        <v>119860.41935483871</v>
      </c>
      <c r="AP8" s="36">
        <v>122040.23333333334</v>
      </c>
      <c r="AQ8" s="36">
        <v>121299.09677419355</v>
      </c>
      <c r="AR8" s="36">
        <v>121410.71428571429</v>
      </c>
      <c r="AS8" s="36">
        <v>116269.19354838709</v>
      </c>
      <c r="AT8" s="36">
        <v>127036.51612903226</v>
      </c>
      <c r="AU8" s="36">
        <v>131445.33333333334</v>
      </c>
      <c r="AV8" s="36">
        <v>121303.35483870968</v>
      </c>
      <c r="AW8" s="36">
        <v>122431.4</v>
      </c>
      <c r="AX8" s="36">
        <v>127903.48387096774</v>
      </c>
      <c r="AY8" s="37">
        <v>124467.58064516129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4">J9</f>
        <v>0.1423126943</v>
      </c>
      <c r="G9" s="40">
        <f t="shared" si="4"/>
        <v>0.1431542327</v>
      </c>
      <c r="H9" s="32">
        <f t="shared" si="5"/>
        <v>-0.005878543515</v>
      </c>
      <c r="I9" s="30"/>
      <c r="J9" s="40">
        <v>0.14231269434772514</v>
      </c>
      <c r="K9" s="40">
        <v>0.14315423273416703</v>
      </c>
      <c r="L9" s="40">
        <v>0.1405955746515335</v>
      </c>
      <c r="M9" s="40">
        <v>0.14445047534991473</v>
      </c>
      <c r="N9" s="40">
        <v>0.1432110255279798</v>
      </c>
      <c r="O9" s="40">
        <v>0.14168983034545213</v>
      </c>
      <c r="P9" s="40">
        <v>0.14066050008077677</v>
      </c>
      <c r="Q9" s="40">
        <v>0.13871985106934212</v>
      </c>
      <c r="R9" s="40">
        <v>0.14156574809151906</v>
      </c>
      <c r="S9" s="40">
        <v>0.1433786494589095</v>
      </c>
      <c r="T9" s="40">
        <v>0.1410243985348353</v>
      </c>
      <c r="U9" s="40">
        <v>0.14157079250921614</v>
      </c>
      <c r="V9" s="40">
        <v>0.14531869561725683</v>
      </c>
      <c r="W9" s="40">
        <v>0.14394045519740356</v>
      </c>
      <c r="X9" s="40">
        <v>0.13979444905657126</v>
      </c>
      <c r="Y9" s="40">
        <v>0.14115679315916177</v>
      </c>
      <c r="Z9" s="40">
        <v>0.13837089691762022</v>
      </c>
      <c r="AA9" s="40">
        <v>0.13500336912489014</v>
      </c>
      <c r="AB9" s="40">
        <v>0.13341209643337865</v>
      </c>
      <c r="AC9" s="40">
        <v>0.13125878908191485</v>
      </c>
      <c r="AD9" s="40">
        <v>0.12779129061157596</v>
      </c>
      <c r="AE9" s="40">
        <v>0.1325689236912791</v>
      </c>
      <c r="AF9" s="40">
        <v>0.12048796176000531</v>
      </c>
      <c r="AG9" s="40">
        <v>0.1294798842234903</v>
      </c>
      <c r="AH9" s="40">
        <v>0.1298429043382624</v>
      </c>
      <c r="AI9" s="40">
        <v>0.12849147681374232</v>
      </c>
      <c r="AJ9" s="36">
        <v>0.12408857167737597</v>
      </c>
      <c r="AK9" s="36">
        <v>0.12230907233788825</v>
      </c>
      <c r="AL9" s="36">
        <v>0.12330164515638971</v>
      </c>
      <c r="AM9" s="36">
        <v>0.12114654430951324</v>
      </c>
      <c r="AN9" s="36">
        <v>0.11836800791522903</v>
      </c>
      <c r="AO9" s="36">
        <v>0.1106637676323357</v>
      </c>
      <c r="AP9" s="36">
        <v>0.1159158246042297</v>
      </c>
      <c r="AQ9" s="36">
        <v>0.11238871296047309</v>
      </c>
      <c r="AR9" s="36">
        <v>0.1124851427459458</v>
      </c>
      <c r="AS9" s="36">
        <v>0.10970122213542938</v>
      </c>
      <c r="AT9" s="36">
        <v>0.11679867865913798</v>
      </c>
      <c r="AU9" s="36">
        <v>0.11881728567091003</v>
      </c>
      <c r="AV9" s="36">
        <v>0.11669149973584318</v>
      </c>
      <c r="AW9" s="36">
        <v>0.12078669984905863</v>
      </c>
      <c r="AX9" s="36">
        <v>0.1301786710967818</v>
      </c>
      <c r="AY9" s="37">
        <v>0.13172642926860242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6">J10</f>
        <v>335784.5556</v>
      </c>
      <c r="G10" s="31">
        <f t="shared" si="6"/>
        <v>387735.9333</v>
      </c>
      <c r="H10" s="32">
        <f t="shared" si="5"/>
        <v>-0.1339864926</v>
      </c>
      <c r="I10" s="30"/>
      <c r="J10" s="31">
        <v>335784.555555555</v>
      </c>
      <c r="K10" s="31">
        <v>387735.93333333335</v>
      </c>
      <c r="L10" s="31">
        <v>355927.7096774193</v>
      </c>
      <c r="M10" s="31">
        <v>353764.79999999976</v>
      </c>
      <c r="N10" s="31">
        <v>359118.19354838686</v>
      </c>
      <c r="O10" s="31">
        <v>347324.4193548387</v>
      </c>
      <c r="P10" s="31">
        <v>328719.09999999945</v>
      </c>
      <c r="Q10" s="31">
        <v>319387.774193548</v>
      </c>
      <c r="R10" s="31">
        <v>317987.4333333329</v>
      </c>
      <c r="S10" s="31">
        <v>331697.96774193534</v>
      </c>
      <c r="T10" s="31">
        <v>316994.0714285712</v>
      </c>
      <c r="U10" s="31">
        <v>322122.9032258063</v>
      </c>
      <c r="V10" s="31">
        <v>343577.8387096773</v>
      </c>
      <c r="W10" s="31">
        <v>353723.5000000002</v>
      </c>
      <c r="X10" s="31">
        <v>315274.8387096772</v>
      </c>
      <c r="Y10" s="31">
        <v>314916.46666666656</v>
      </c>
      <c r="Z10" s="31">
        <v>297888.032258064</v>
      </c>
      <c r="AA10" s="31">
        <v>289507.5483870964</v>
      </c>
      <c r="AB10" s="31">
        <v>275439.53333333286</v>
      </c>
      <c r="AC10" s="31">
        <v>268868.51612903184</v>
      </c>
      <c r="AD10" s="31">
        <v>262208.2999999997</v>
      </c>
      <c r="AE10" s="31">
        <v>270931.99999999965</v>
      </c>
      <c r="AF10" s="31">
        <v>237775.93103448252</v>
      </c>
      <c r="AG10" s="31">
        <v>278424.96774193534</v>
      </c>
      <c r="AH10" s="31">
        <v>278211.41935483844</v>
      </c>
      <c r="AI10" s="31">
        <v>287715.2999999995</v>
      </c>
      <c r="AJ10" s="36">
        <v>242809.77419354822</v>
      </c>
      <c r="AK10" s="36">
        <v>237789.56666666642</v>
      </c>
      <c r="AL10" s="36">
        <v>230445.38709677404</v>
      </c>
      <c r="AM10" s="36">
        <v>228000.9032258062</v>
      </c>
      <c r="AN10" s="36">
        <v>216633.53333333333</v>
      </c>
      <c r="AO10" s="36">
        <v>211729.8064516127</v>
      </c>
      <c r="AP10" s="36">
        <v>218350.8999999999</v>
      </c>
      <c r="AQ10" s="36">
        <v>218069.38709677398</v>
      </c>
      <c r="AR10" s="36">
        <v>214583.99999999977</v>
      </c>
      <c r="AS10" s="36">
        <v>204615.48387096744</v>
      </c>
      <c r="AT10" s="36">
        <v>243796.54838709635</v>
      </c>
      <c r="AU10" s="36">
        <v>263288.9999999996</v>
      </c>
      <c r="AV10" s="36">
        <v>225843.32258064498</v>
      </c>
      <c r="AW10" s="36">
        <v>236353.4999999998</v>
      </c>
      <c r="AX10" s="36">
        <v>247503.61290322544</v>
      </c>
      <c r="AY10" s="37">
        <v>246494.77419354802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7">J11</f>
        <v>0.2485003937</v>
      </c>
      <c r="G11" s="41">
        <f t="shared" si="7"/>
        <v>0.2676344606</v>
      </c>
      <c r="H11" s="32">
        <f t="shared" si="5"/>
        <v>-0.07149328553</v>
      </c>
      <c r="I11" s="30"/>
      <c r="J11" s="41">
        <v>0.2485003937114055</v>
      </c>
      <c r="K11" s="41">
        <v>0.26763446062319807</v>
      </c>
      <c r="L11" s="41">
        <v>0.2521358664042848</v>
      </c>
      <c r="M11" s="41">
        <v>0.2586319571796991</v>
      </c>
      <c r="N11" s="41">
        <v>0.2559263343939281</v>
      </c>
      <c r="O11" s="41">
        <v>0.2540128665670894</v>
      </c>
      <c r="P11" s="41">
        <v>0.25034128310057635</v>
      </c>
      <c r="Q11" s="41">
        <v>0.2440687187195944</v>
      </c>
      <c r="R11" s="41">
        <v>0.24989621300590886</v>
      </c>
      <c r="S11" s="41">
        <v>0.256282884681217</v>
      </c>
      <c r="T11" s="41">
        <v>0.24861129675455895</v>
      </c>
      <c r="U11" s="41">
        <v>0.25277111236466854</v>
      </c>
      <c r="V11" s="41">
        <v>0.26663560941016334</v>
      </c>
      <c r="W11" s="41">
        <v>0.27286195197887</v>
      </c>
      <c r="X11" s="41">
        <v>0.2535882133342576</v>
      </c>
      <c r="Y11" s="41">
        <v>0.2550883578301564</v>
      </c>
      <c r="Z11" s="41">
        <v>0.24584880360702374</v>
      </c>
      <c r="AA11" s="41">
        <v>0.24034815549216335</v>
      </c>
      <c r="AB11" s="41">
        <v>0.2375422693115602</v>
      </c>
      <c r="AC11" s="41">
        <v>0.2317550719997416</v>
      </c>
      <c r="AD11" s="41">
        <v>0.22497950194444066</v>
      </c>
      <c r="AE11" s="41">
        <v>0.2374976211758189</v>
      </c>
      <c r="AF11" s="41">
        <v>0.20952840913303528</v>
      </c>
      <c r="AG11" s="41">
        <v>0.23019534498975025</v>
      </c>
      <c r="AH11" s="41">
        <v>0.2433801067772912</v>
      </c>
      <c r="AI11" s="41">
        <v>0.2476508491768891</v>
      </c>
      <c r="AJ11" s="31">
        <v>0.22264676797158095</v>
      </c>
      <c r="AK11" s="31">
        <v>0.22025461241237032</v>
      </c>
      <c r="AL11" s="31">
        <v>0.21727405845237613</v>
      </c>
      <c r="AM11" s="31">
        <v>0.21597988767073525</v>
      </c>
      <c r="AN11" s="31">
        <v>0.21227189080840697</v>
      </c>
      <c r="AO11" s="31">
        <v>0.195484199272116</v>
      </c>
      <c r="AP11" s="31">
        <v>0.20739328281554978</v>
      </c>
      <c r="AQ11" s="31">
        <v>0.20205045547461845</v>
      </c>
      <c r="AR11" s="31">
        <v>0.1988087461061592</v>
      </c>
      <c r="AS11" s="31">
        <v>0.19305688775708163</v>
      </c>
      <c r="AT11" s="31">
        <v>0.22414905242165956</v>
      </c>
      <c r="AU11" s="31">
        <v>0.23799463650547892</v>
      </c>
      <c r="AV11" s="31">
        <v>0.2172569427474015</v>
      </c>
      <c r="AW11" s="31">
        <v>0.233178410626477</v>
      </c>
      <c r="AX11" s="31">
        <v>0.251906284678674</v>
      </c>
      <c r="AY11" s="33">
        <v>0.2608701500389355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8">J12</f>
        <v>7583173.873</v>
      </c>
      <c r="G12" s="31">
        <f t="shared" si="8"/>
        <v>10896558.4</v>
      </c>
      <c r="H12" s="32">
        <f t="shared" si="5"/>
        <v>-0.3040762417</v>
      </c>
      <c r="I12" s="30"/>
      <c r="J12" s="31">
        <v>7583173.872947095</v>
      </c>
      <c r="K12" s="31">
        <v>1.0896558397620758E7</v>
      </c>
      <c r="L12" s="31">
        <v>8705776.245072702</v>
      </c>
      <c r="M12" s="31">
        <v>9131291.11708207</v>
      </c>
      <c r="N12" s="31">
        <v>8669120.06873339</v>
      </c>
      <c r="O12" s="31">
        <v>8416854.052369406</v>
      </c>
      <c r="P12" s="31">
        <v>8176488.970998696</v>
      </c>
      <c r="Q12" s="31">
        <v>7662303.28191176</v>
      </c>
      <c r="R12" s="31">
        <v>7536678.497978523</v>
      </c>
      <c r="S12" s="31">
        <v>8032444.379008655</v>
      </c>
      <c r="T12" s="31">
        <v>7358490.254733177</v>
      </c>
      <c r="U12" s="31">
        <v>7367429.774320454</v>
      </c>
      <c r="V12" s="31">
        <v>8417969.01337557</v>
      </c>
      <c r="W12" s="31">
        <v>9473154.590600083</v>
      </c>
      <c r="X12" s="31">
        <v>7630598.5179305915</v>
      </c>
      <c r="Y12" s="31">
        <v>7725376.899510286</v>
      </c>
      <c r="Z12" s="31">
        <v>6978729.18802556</v>
      </c>
      <c r="AA12" s="31">
        <v>6726937.879491779</v>
      </c>
      <c r="AB12" s="31">
        <v>6477143.786236465</v>
      </c>
      <c r="AC12" s="31">
        <v>6252698.860135305</v>
      </c>
      <c r="AD12" s="31">
        <v>6210036.023023406</v>
      </c>
      <c r="AE12" s="31">
        <v>6604896.903057836</v>
      </c>
      <c r="AF12" s="31">
        <v>5623625.639753126</v>
      </c>
      <c r="AG12" s="31">
        <v>6458540.436839399</v>
      </c>
      <c r="AH12" s="31">
        <v>6718760.763605844</v>
      </c>
      <c r="AI12" s="31">
        <v>7603528.688398526</v>
      </c>
      <c r="AJ12" s="31">
        <v>5563897.909815729</v>
      </c>
      <c r="AK12" s="31">
        <v>5639817.821305656</v>
      </c>
      <c r="AL12" s="31">
        <v>5431326.637495215</v>
      </c>
      <c r="AM12" s="31">
        <v>5307641.144288744</v>
      </c>
      <c r="AN12" s="31">
        <v>5175472.853327383</v>
      </c>
      <c r="AO12" s="31">
        <v>5153054.498388859</v>
      </c>
      <c r="AP12" s="31">
        <v>5169302.80814096</v>
      </c>
      <c r="AQ12" s="31">
        <v>5345952.526156259</v>
      </c>
      <c r="AR12" s="31">
        <v>5250876.866373408</v>
      </c>
      <c r="AS12" s="31">
        <v>4795058.289784553</v>
      </c>
      <c r="AT12" s="31">
        <v>5774112.336828854</v>
      </c>
      <c r="AU12" s="31">
        <v>6563524.607235781</v>
      </c>
      <c r="AV12" s="31">
        <v>4828522.793267728</v>
      </c>
      <c r="AW12" s="31">
        <v>4998466.853371154</v>
      </c>
      <c r="AX12" s="31">
        <v>5010414.214645462</v>
      </c>
      <c r="AY12" s="33">
        <v>4957628.187190207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  <c r="J13" s="90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9">J14</f>
        <v>431053.9584</v>
      </c>
      <c r="G14" s="31">
        <f t="shared" si="9"/>
        <v>501978.318</v>
      </c>
      <c r="H14" s="32">
        <f t="shared" ref="H14:H16" si="11">IFERROR(F14/G14-1,"-")</f>
        <v>-0.1412896874</v>
      </c>
      <c r="I14" s="30"/>
      <c r="J14" s="31">
        <v>431053.9583690112</v>
      </c>
      <c r="K14" s="31">
        <v>501978.31798228715</v>
      </c>
      <c r="L14" s="31">
        <v>428948.89758615487</v>
      </c>
      <c r="M14" s="31">
        <v>433659.74736777623</v>
      </c>
      <c r="N14" s="31">
        <v>418197.77357522177</v>
      </c>
      <c r="O14" s="31">
        <v>414189.52474556357</v>
      </c>
      <c r="P14" s="31">
        <v>393834.86788409646</v>
      </c>
      <c r="Q14" s="31">
        <v>352098.9421526043</v>
      </c>
      <c r="R14" s="31">
        <v>312032.04184361326</v>
      </c>
      <c r="S14" s="31">
        <v>321049.3916733162</v>
      </c>
      <c r="T14" s="31">
        <v>297989.50375281885</v>
      </c>
      <c r="U14" s="31">
        <v>296302.9814876021</v>
      </c>
      <c r="V14" s="31">
        <v>368944.21009467676</v>
      </c>
      <c r="W14" s="31">
        <v>376779.35570914025</v>
      </c>
      <c r="X14" s="36">
        <v>320133.8952048171</v>
      </c>
      <c r="Y14" s="36">
        <v>310317.46076386765</v>
      </c>
      <c r="Z14" s="36">
        <v>280971.9502009738</v>
      </c>
      <c r="AA14" s="36">
        <v>257659.61240417525</v>
      </c>
      <c r="AB14" s="36">
        <v>243819.3181980468</v>
      </c>
      <c r="AC14" s="36">
        <v>223538.95821718057</v>
      </c>
      <c r="AD14" s="36">
        <v>217078.2628479545</v>
      </c>
      <c r="AE14" s="36">
        <v>214190.65821548464</v>
      </c>
      <c r="AF14" s="36">
        <v>180914.3862113292</v>
      </c>
      <c r="AG14" s="36">
        <v>205007.36862113044</v>
      </c>
      <c r="AH14" s="36">
        <v>224233.62447733508</v>
      </c>
      <c r="AI14" s="36">
        <v>238953.61553855284</v>
      </c>
      <c r="AJ14" s="36">
        <v>193070.84158468436</v>
      </c>
      <c r="AK14" s="36">
        <v>194949.44039956384</v>
      </c>
      <c r="AL14" s="36">
        <v>183163.46473986557</v>
      </c>
      <c r="AM14" s="36">
        <v>168369.9555265296</v>
      </c>
      <c r="AN14" s="36">
        <v>162361.95301136014</v>
      </c>
      <c r="AO14" s="36">
        <v>154218.77882118677</v>
      </c>
      <c r="AP14" s="36">
        <v>161301.05129157408</v>
      </c>
      <c r="AQ14" s="36">
        <v>154171.6742141193</v>
      </c>
      <c r="AR14" s="36">
        <v>151346.33369012736</v>
      </c>
      <c r="AS14" s="36">
        <v>141028.021679323</v>
      </c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>
        <f t="shared" ref="F15:G15" si="10">J15</f>
        <v>0.05684347551</v>
      </c>
      <c r="G15" s="40">
        <f t="shared" si="10"/>
        <v>0.04606760223</v>
      </c>
      <c r="H15" s="32">
        <f t="shared" si="11"/>
        <v>0.233914351</v>
      </c>
      <c r="I15" s="30"/>
      <c r="J15" s="40">
        <v>0.056843475514492994</v>
      </c>
      <c r="K15" s="40">
        <v>0.04606760223410477</v>
      </c>
      <c r="L15" s="40">
        <v>0.0492717576825997</v>
      </c>
      <c r="M15" s="40">
        <v>0.047491613377271605</v>
      </c>
      <c r="N15" s="40">
        <v>0.04823993326422147</v>
      </c>
      <c r="O15" s="40">
        <v>0.04920954101954116</v>
      </c>
      <c r="P15" s="40">
        <v>0.04816674605457121</v>
      </c>
      <c r="Q15" s="40">
        <v>0.045952102024439175</v>
      </c>
      <c r="R15" s="40">
        <v>0.04140179814321469</v>
      </c>
      <c r="S15" s="40">
        <v>0.03996907747189895</v>
      </c>
      <c r="T15" s="40">
        <v>0.040496011197561084</v>
      </c>
      <c r="U15" s="40">
        <v>0.040217958034751956</v>
      </c>
      <c r="V15" s="40">
        <v>0.04382817393464504</v>
      </c>
      <c r="W15" s="40">
        <v>0.039773377717598604</v>
      </c>
      <c r="X15" s="36">
        <v>0.04195396920078519</v>
      </c>
      <c r="Y15" s="36">
        <v>0.0401685852742717</v>
      </c>
      <c r="Z15" s="36">
        <v>0.04026119120413484</v>
      </c>
      <c r="AA15" s="36">
        <v>0.038302659697467205</v>
      </c>
      <c r="AB15" s="36">
        <v>0.03764303005225049</v>
      </c>
      <c r="AC15" s="36">
        <v>0.0357507954912678</v>
      </c>
      <c r="AD15" s="36">
        <v>0.03495603923119728</v>
      </c>
      <c r="AE15" s="36">
        <v>0.03242906912238431</v>
      </c>
      <c r="AF15" s="36">
        <v>0.032170417769713286</v>
      </c>
      <c r="AG15" s="36">
        <v>0.031742058538763974</v>
      </c>
      <c r="AH15" s="36">
        <v>0.03337425343256198</v>
      </c>
      <c r="AI15" s="36">
        <v>0.03142667376308431</v>
      </c>
      <c r="AJ15" s="36">
        <v>0.034700644173228316</v>
      </c>
      <c r="AK15" s="36">
        <v>0.03456662015980363</v>
      </c>
      <c r="AL15" s="36">
        <v>0.03372352225612705</v>
      </c>
      <c r="AM15" s="36">
        <v>0.03172218146430324</v>
      </c>
      <c r="AN15" s="36">
        <v>0.0313714239476641</v>
      </c>
      <c r="AO15" s="36">
        <v>0.02992764366637388</v>
      </c>
      <c r="AP15" s="36">
        <v>0.031203637565504296</v>
      </c>
      <c r="AQ15" s="36">
        <v>0.028838953107009496</v>
      </c>
      <c r="AR15" s="36">
        <v>0.028823058994079373</v>
      </c>
      <c r="AS15" s="36">
        <v>0.029411117270413727</v>
      </c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>
        <f t="shared" ref="F16:G16" si="12">J16</f>
        <v>4.787170814</v>
      </c>
      <c r="G16" s="36">
        <f t="shared" si="12"/>
        <v>6.100500519</v>
      </c>
      <c r="H16" s="32">
        <f t="shared" si="11"/>
        <v>-0.2152822872</v>
      </c>
      <c r="I16" s="30"/>
      <c r="J16" s="36">
        <v>4.787170814177416</v>
      </c>
      <c r="K16" s="36">
        <v>6.100500518658305</v>
      </c>
      <c r="L16" s="36">
        <v>5.106913017364542</v>
      </c>
      <c r="M16" s="36">
        <v>4.966469186208906</v>
      </c>
      <c r="N16" s="36">
        <v>5.136327395535709</v>
      </c>
      <c r="O16" s="36">
        <v>4.810822587568595</v>
      </c>
      <c r="P16" s="36">
        <v>5.004255359209191</v>
      </c>
      <c r="Q16" s="36">
        <v>5.023239115492017</v>
      </c>
      <c r="R16" s="36">
        <v>5.415698369327971</v>
      </c>
      <c r="S16" s="36">
        <v>5.6026628836169925</v>
      </c>
      <c r="T16" s="36">
        <v>5.5056924295848555</v>
      </c>
      <c r="U16" s="36">
        <v>5.484045552232857</v>
      </c>
      <c r="V16" s="36">
        <v>5.371566118899341</v>
      </c>
      <c r="W16" s="36">
        <v>6.11077223000069</v>
      </c>
      <c r="X16" s="31">
        <v>5.5663881049124635</v>
      </c>
      <c r="Y16" s="31">
        <v>5.923293451832482</v>
      </c>
      <c r="Z16" s="31">
        <v>5.87539955158423</v>
      </c>
      <c r="AA16" s="31">
        <v>5.973079266012991</v>
      </c>
      <c r="AB16" s="31">
        <v>5.97346903051166</v>
      </c>
      <c r="AC16" s="31">
        <v>5.974005604338469</v>
      </c>
      <c r="AD16" s="31">
        <v>5.954266892109412</v>
      </c>
      <c r="AE16" s="31">
        <v>6.533261741364069</v>
      </c>
      <c r="AF16" s="31">
        <v>6.146629263132539</v>
      </c>
      <c r="AG16" s="31">
        <v>6.182048835583173</v>
      </c>
      <c r="AH16" s="31">
        <v>5.930796360538221</v>
      </c>
      <c r="AI16" s="31">
        <v>6.439209252531109</v>
      </c>
      <c r="AJ16" s="31">
        <v>5.462406314978608</v>
      </c>
      <c r="AK16" s="31">
        <v>5.556622246299358</v>
      </c>
      <c r="AL16" s="31">
        <v>5.8927865709567415</v>
      </c>
      <c r="AM16" s="31">
        <v>6.089845827705841</v>
      </c>
      <c r="AN16" s="31">
        <v>6.095287126371836</v>
      </c>
      <c r="AO16" s="31">
        <v>6.2320229131561575</v>
      </c>
      <c r="AP16" s="31">
        <v>5.990766366000441</v>
      </c>
      <c r="AQ16" s="31">
        <v>5.9987174885163315</v>
      </c>
      <c r="AR16" s="31">
        <v>5.95719496314924</v>
      </c>
      <c r="AS16" s="31">
        <v>5.882580742184404</v>
      </c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3">J18</f>
        <v>402454.0843</v>
      </c>
      <c r="G18" s="31">
        <f t="shared" si="13"/>
        <v>469279.7169</v>
      </c>
      <c r="H18" s="32">
        <f t="shared" ref="H18:H19" si="15">IFERROR(F18/G18-1,"-")</f>
        <v>-0.1424004281</v>
      </c>
      <c r="I18" s="30"/>
      <c r="J18" s="31">
        <v>402454.084259633</v>
      </c>
      <c r="K18" s="31">
        <v>469279.71685751</v>
      </c>
      <c r="L18" s="31">
        <v>398371.539219967</v>
      </c>
      <c r="M18" s="31">
        <v>401147.557905409</v>
      </c>
      <c r="N18" s="31">
        <v>387911.686322712</v>
      </c>
      <c r="O18" s="31">
        <v>385727.713656452</v>
      </c>
      <c r="P18" s="31">
        <v>367182.229120675</v>
      </c>
      <c r="Q18" s="31">
        <v>326873.636723365</v>
      </c>
      <c r="R18" s="31">
        <v>294845.048518018</v>
      </c>
      <c r="S18" s="31">
        <v>304358.018971167</v>
      </c>
      <c r="T18" s="31">
        <v>281887.611823305</v>
      </c>
      <c r="U18" s="31">
        <v>280558.235344623</v>
      </c>
      <c r="V18" s="31">
        <v>329955.562034568</v>
      </c>
      <c r="W18" s="31">
        <v>333463.126178619</v>
      </c>
      <c r="X18" s="36">
        <v>284889.472370797</v>
      </c>
      <c r="Y18" s="36">
        <v>275356.820990632</v>
      </c>
      <c r="Z18" s="36">
        <v>260065.770823692</v>
      </c>
      <c r="AA18" s="36">
        <v>246755.154878657</v>
      </c>
      <c r="AB18" s="36">
        <v>234515.580291773</v>
      </c>
      <c r="AC18" s="36">
        <v>216728.897920063</v>
      </c>
      <c r="AD18" s="36">
        <v>207926.523955882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>
        <f t="shared" ref="F19:G19" si="14">J19</f>
        <v>0.05307198424</v>
      </c>
      <c r="G19" s="40">
        <f t="shared" si="14"/>
        <v>0.04306678308</v>
      </c>
      <c r="H19" s="32">
        <f t="shared" si="15"/>
        <v>0.2323182843</v>
      </c>
      <c r="I19" s="30"/>
      <c r="J19" s="58">
        <v>0.0530719842380753</v>
      </c>
      <c r="K19" s="58">
        <v>0.0430667830826269</v>
      </c>
      <c r="L19" s="58">
        <v>0.0457594507377143</v>
      </c>
      <c r="M19" s="58">
        <v>0.0439310884695128</v>
      </c>
      <c r="N19" s="58">
        <v>0.0447463737088819</v>
      </c>
      <c r="O19" s="58">
        <v>0.0458280149871278</v>
      </c>
      <c r="P19" s="58">
        <v>0.0449070781386777</v>
      </c>
      <c r="Q19" s="58">
        <v>0.0426599711205649</v>
      </c>
      <c r="R19" s="58">
        <v>0.0391213514809078</v>
      </c>
      <c r="S19" s="58">
        <v>0.0378910832879903</v>
      </c>
      <c r="T19" s="58">
        <v>0.0383078052786695</v>
      </c>
      <c r="U19" s="58">
        <v>0.0380808835562333</v>
      </c>
      <c r="V19" s="58">
        <v>0.0391965759805354</v>
      </c>
      <c r="W19" s="58">
        <v>0.0352008534210456</v>
      </c>
      <c r="X19" s="36">
        <v>0.0373351411034608</v>
      </c>
      <c r="Y19" s="36">
        <v>0.03564315690644</v>
      </c>
      <c r="Z19" s="36">
        <v>0.0372654911541667</v>
      </c>
      <c r="AA19" s="36">
        <v>0.036681646136637</v>
      </c>
      <c r="AB19" s="36">
        <v>0.0362066349044318</v>
      </c>
      <c r="AC19" s="36">
        <v>0.0346616561532875</v>
      </c>
      <c r="AD19" s="36">
        <v>0.0334823378133403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6">J21</f>
        <v>358253.5427</v>
      </c>
      <c r="G21" s="31">
        <f t="shared" si="16"/>
        <v>423473.5503</v>
      </c>
      <c r="H21" s="32">
        <f t="shared" ref="H21:H22" si="18">IFERROR(F21/G21-1,"-")</f>
        <v>-0.1540119979</v>
      </c>
      <c r="I21" s="30"/>
      <c r="J21" s="31">
        <v>358253.542739711</v>
      </c>
      <c r="K21" s="31">
        <v>423473.550274766</v>
      </c>
      <c r="L21" s="31">
        <v>351271.588096758</v>
      </c>
      <c r="M21" s="31">
        <v>354391.232067438</v>
      </c>
      <c r="N21" s="31">
        <v>338354.916897856</v>
      </c>
      <c r="O21" s="31">
        <v>341708.20980507</v>
      </c>
      <c r="P21" s="31">
        <v>318892.735618038</v>
      </c>
      <c r="Q21" s="31">
        <v>286740.999206728</v>
      </c>
      <c r="R21" s="31">
        <v>272328.415930348</v>
      </c>
      <c r="S21" s="31">
        <v>276183.725914781</v>
      </c>
      <c r="T21" s="31">
        <v>257036.279098299</v>
      </c>
      <c r="U21" s="31">
        <v>261529.971378723</v>
      </c>
      <c r="V21" s="31">
        <v>308446.826995062</v>
      </c>
      <c r="W21" s="31">
        <v>312132.063053232</v>
      </c>
      <c r="X21" s="36">
        <v>252472.356747967</v>
      </c>
      <c r="Y21" s="36">
        <v>246015.422357261</v>
      </c>
      <c r="Z21" s="36">
        <v>223815.835594626</v>
      </c>
      <c r="AA21" s="36">
        <v>218543.166321127</v>
      </c>
      <c r="AB21" s="36">
        <v>209817.475357556</v>
      </c>
      <c r="AC21" s="36">
        <v>195156.158599528</v>
      </c>
      <c r="AD21" s="36">
        <v>186501.223350405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26"/>
      <c r="B22" s="27"/>
      <c r="C22" s="28" t="s">
        <v>21</v>
      </c>
      <c r="D22" s="39" t="s">
        <v>10</v>
      </c>
      <c r="E22" s="30"/>
      <c r="F22" s="40">
        <f t="shared" ref="F22:G22" si="17">J22</f>
        <v>0.04724321883</v>
      </c>
      <c r="G22" s="40">
        <f t="shared" si="17"/>
        <v>0.03886305518</v>
      </c>
      <c r="H22" s="32">
        <f t="shared" si="18"/>
        <v>0.2156331667</v>
      </c>
      <c r="I22" s="30"/>
      <c r="J22" s="58">
        <v>0.0472432188345011</v>
      </c>
      <c r="K22" s="58">
        <v>0.0388630551796273</v>
      </c>
      <c r="L22" s="58">
        <v>0.0403492552769858</v>
      </c>
      <c r="M22" s="58">
        <v>0.0388106377864212</v>
      </c>
      <c r="N22" s="58">
        <v>0.0390299031753163</v>
      </c>
      <c r="O22" s="58">
        <v>0.0405980913627553</v>
      </c>
      <c r="P22" s="58">
        <v>0.0390011821393172</v>
      </c>
      <c r="Q22" s="58">
        <v>0.0374222983164386</v>
      </c>
      <c r="R22" s="58">
        <v>0.0361337445936418</v>
      </c>
      <c r="S22" s="58">
        <v>0.0343835217379827</v>
      </c>
      <c r="T22" s="58">
        <v>0.0349305727398316</v>
      </c>
      <c r="U22" s="58">
        <v>0.0354981288441051</v>
      </c>
      <c r="V22" s="58">
        <v>0.0366414780697055</v>
      </c>
      <c r="W22" s="58">
        <v>0.032949115320355</v>
      </c>
      <c r="X22" s="36">
        <v>0.033086835345183</v>
      </c>
      <c r="Y22" s="36">
        <v>0.0318451029066111</v>
      </c>
      <c r="Z22" s="36">
        <v>0.0320711449841985</v>
      </c>
      <c r="AA22" s="36">
        <v>0.0324877634127399</v>
      </c>
      <c r="AB22" s="36">
        <v>0.0323935182361407</v>
      </c>
      <c r="AC22" s="36">
        <v>0.0312115076969027</v>
      </c>
      <c r="AD22" s="36">
        <v>0.0300322289047859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7"/>
      <c r="AZ22" s="37"/>
      <c r="BA22" s="37"/>
      <c r="BB22" s="37"/>
      <c r="BC22" s="37"/>
      <c r="BD22" s="37"/>
      <c r="BE22" s="37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19">J24</f>
        <v>631161.0374</v>
      </c>
      <c r="G24" s="31">
        <f t="shared" si="19"/>
        <v>976227.0038</v>
      </c>
      <c r="H24" s="32">
        <f t="shared" ref="H24:H26" si="21">IFERROR(F24/G24-1,"-")</f>
        <v>-0.3534689832</v>
      </c>
      <c r="I24" s="30"/>
      <c r="J24" s="31">
        <v>631161.0374024935</v>
      </c>
      <c r="K24" s="31">
        <v>976227.0038072026</v>
      </c>
      <c r="L24" s="31">
        <v>755451.7766740053</v>
      </c>
      <c r="M24" s="31">
        <v>794922.7577885604</v>
      </c>
      <c r="N24" s="31">
        <v>757668.0241266098</v>
      </c>
      <c r="O24" s="31">
        <v>734794.055131188</v>
      </c>
      <c r="P24" s="31">
        <v>708937.3335401173</v>
      </c>
      <c r="Q24" s="31">
        <v>660846.9126650403</v>
      </c>
      <c r="R24" s="31">
        <v>621641.5565097234</v>
      </c>
      <c r="S24" s="31">
        <v>621829.9673872449</v>
      </c>
      <c r="T24" s="31">
        <v>535913.3280277499</v>
      </c>
      <c r="U24" s="31">
        <v>535647.2855694558</v>
      </c>
      <c r="V24" s="31">
        <v>596819.4820070394</v>
      </c>
      <c r="W24" s="31">
        <v>678925.7339919939</v>
      </c>
      <c r="X24" s="31">
        <v>535721.999861067</v>
      </c>
      <c r="Y24" s="31">
        <v>527192.1232114827</v>
      </c>
      <c r="Z24" s="31">
        <v>368400.4307642409</v>
      </c>
      <c r="AA24" s="31">
        <v>274263.9954665477</v>
      </c>
      <c r="AB24" s="31">
        <v>267157.0300495735</v>
      </c>
      <c r="AC24" s="31">
        <v>254749.4282910498</v>
      </c>
      <c r="AD24" s="31">
        <v>250517.5108999564</v>
      </c>
      <c r="AE24" s="31">
        <v>239433.2978579229</v>
      </c>
      <c r="AF24" s="31">
        <v>200640.7119772676</v>
      </c>
      <c r="AG24" s="31">
        <v>226372.1654085556</v>
      </c>
      <c r="AH24" s="31">
        <v>221384.7397477363</v>
      </c>
      <c r="AI24" s="31">
        <v>255847.0493539982</v>
      </c>
      <c r="AJ24" s="31">
        <v>182833.4296850806</v>
      </c>
      <c r="AK24" s="31">
        <v>183958.4520072224</v>
      </c>
      <c r="AL24" s="36">
        <v>178028.6499285357</v>
      </c>
      <c r="AM24" s="36">
        <v>171762.7704079027</v>
      </c>
      <c r="AN24" s="36">
        <v>167671.8002685857</v>
      </c>
      <c r="AO24" s="36">
        <v>161569.9047821996</v>
      </c>
      <c r="AP24" s="36">
        <v>163910.8127112322</v>
      </c>
      <c r="AQ24" s="36">
        <v>168055.8337680518</v>
      </c>
      <c r="AR24" s="36">
        <v>162911.3863321686</v>
      </c>
      <c r="AS24" s="36">
        <v>151145.6305590735</v>
      </c>
      <c r="AT24" s="36">
        <v>186655.9707990625</v>
      </c>
      <c r="AU24" s="36">
        <v>214336.9687739949</v>
      </c>
      <c r="AV24" s="36">
        <v>152667.4407968751</v>
      </c>
      <c r="AW24" s="36">
        <v>159342.0960018034</v>
      </c>
      <c r="AX24" s="36">
        <v>162878.8383626374</v>
      </c>
      <c r="AY24" s="37">
        <v>155046.3294086452</v>
      </c>
      <c r="AZ24" s="37">
        <v>147795.3363176975</v>
      </c>
      <c r="BA24" s="37">
        <v>135513.8794327527</v>
      </c>
      <c r="BB24" s="37">
        <v>94014.6404905968</v>
      </c>
      <c r="BC24" s="37">
        <v>105631.0646675624</v>
      </c>
      <c r="BD24" s="37">
        <v>94141.50788641</v>
      </c>
      <c r="BE24" s="37">
        <v>102526.0813679935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20">J25</f>
        <v>0.08323177709</v>
      </c>
      <c r="G25" s="40">
        <f t="shared" si="20"/>
        <v>0.08959039801</v>
      </c>
      <c r="H25" s="50">
        <f t="shared" si="21"/>
        <v>-0.07097435737</v>
      </c>
      <c r="I25" s="49"/>
      <c r="J25" s="40">
        <v>0.08323177708665694</v>
      </c>
      <c r="K25" s="40">
        <v>0.08959039801230816</v>
      </c>
      <c r="L25" s="40">
        <v>0.08677592387026672</v>
      </c>
      <c r="M25" s="40">
        <v>0.08705480392597319</v>
      </c>
      <c r="N25" s="40">
        <v>0.08739849236363265</v>
      </c>
      <c r="O25" s="40">
        <v>0.0873003203523932</v>
      </c>
      <c r="P25" s="40">
        <v>0.08670437103928802</v>
      </c>
      <c r="Q25" s="40">
        <v>0.08624650948300205</v>
      </c>
      <c r="R25" s="40">
        <v>0.08248216461355744</v>
      </c>
      <c r="S25" s="40">
        <v>0.07741478658878552</v>
      </c>
      <c r="T25" s="40">
        <v>0.0728292502233099</v>
      </c>
      <c r="U25" s="40">
        <v>0.07270476977418655</v>
      </c>
      <c r="V25" s="40">
        <v>0.07089827499468512</v>
      </c>
      <c r="W25" s="40">
        <v>0.07166838960547217</v>
      </c>
      <c r="X25" s="40">
        <v>0.07020707466160259</v>
      </c>
      <c r="Y25" s="40">
        <v>0.06824160556424134</v>
      </c>
      <c r="Z25" s="40">
        <v>0.05278904236552983</v>
      </c>
      <c r="AA25" s="40">
        <v>0.04077100166224047</v>
      </c>
      <c r="AB25" s="40">
        <v>0.04124611694081362</v>
      </c>
      <c r="AC25" s="40">
        <v>0.040742315276884634</v>
      </c>
      <c r="AD25" s="40">
        <v>0.04034075003287822</v>
      </c>
      <c r="AE25" s="40">
        <v>0.03625087588378157</v>
      </c>
      <c r="AF25" s="40">
        <v>0.035678177181451866</v>
      </c>
      <c r="AG25" s="40">
        <v>0.03505005002637017</v>
      </c>
      <c r="AH25" s="40">
        <v>0.03295023405907415</v>
      </c>
      <c r="AI25" s="40">
        <v>0.033648462423028665</v>
      </c>
      <c r="AJ25" s="40">
        <v>0.03286067297578001</v>
      </c>
      <c r="AK25" s="40">
        <v>0.03261780040345962</v>
      </c>
      <c r="AL25" s="40">
        <v>0.032778115147690294</v>
      </c>
      <c r="AM25" s="40">
        <v>0.032361413618312726</v>
      </c>
      <c r="AN25" s="40">
        <v>0.0323973876436792</v>
      </c>
      <c r="AO25" s="40">
        <v>0.03135420066539479</v>
      </c>
      <c r="AP25" s="40">
        <v>0.03170849509011053</v>
      </c>
      <c r="AQ25" s="40">
        <v>0.03143608794612398</v>
      </c>
      <c r="AR25" s="40">
        <v>0.03102555829778687</v>
      </c>
      <c r="AS25" s="40">
        <v>0.031521124754849354</v>
      </c>
      <c r="AT25" s="40">
        <v>0.03232634904044386</v>
      </c>
      <c r="AU25" s="40">
        <v>0.0326557728659545</v>
      </c>
      <c r="AV25" s="40">
        <v>0.031617835792291375</v>
      </c>
      <c r="AW25" s="40">
        <v>0.03187819398949042</v>
      </c>
      <c r="AX25" s="40">
        <v>0.03250805849275732</v>
      </c>
      <c r="AY25" s="51">
        <v>0.03127429560152624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2">J26</f>
        <v>447388.7951</v>
      </c>
      <c r="G26" s="31">
        <f t="shared" si="22"/>
        <v>1397390.277</v>
      </c>
      <c r="H26" s="32">
        <f t="shared" si="21"/>
        <v>-0.679839768</v>
      </c>
      <c r="I26" s="30"/>
      <c r="J26" s="31">
        <v>447388.7951343932</v>
      </c>
      <c r="K26" s="31">
        <v>1397390.2766755829</v>
      </c>
      <c r="L26" s="31">
        <v>948836.8316534354</v>
      </c>
      <c r="M26" s="31">
        <v>993638.8257316857</v>
      </c>
      <c r="N26" s="31">
        <v>897233.9838944945</v>
      </c>
      <c r="O26" s="31">
        <v>837279.268652399</v>
      </c>
      <c r="P26" s="31">
        <v>786401.2620806274</v>
      </c>
      <c r="Q26" s="31">
        <v>691557.8325520854</v>
      </c>
      <c r="R26" s="31">
        <v>588663.9514892132</v>
      </c>
      <c r="S26" s="31">
        <v>593957.9616216786</v>
      </c>
      <c r="T26" s="31">
        <v>477108.8922030622</v>
      </c>
      <c r="U26" s="31">
        <v>474709.4664806259</v>
      </c>
      <c r="V26" s="31">
        <v>628101.5596173564</v>
      </c>
      <c r="W26" s="31">
        <v>756029.7025161285</v>
      </c>
      <c r="X26" s="31">
        <v>523224.0867772455</v>
      </c>
      <c r="Y26" s="31">
        <v>527587.8693750743</v>
      </c>
      <c r="Z26" s="31">
        <v>436655.3222364693</v>
      </c>
      <c r="AA26" s="31">
        <v>389277.3112292616</v>
      </c>
      <c r="AB26" s="31">
        <v>381589.5535084157</v>
      </c>
      <c r="AC26" s="31">
        <v>344319.1116563931</v>
      </c>
      <c r="AD26" s="31">
        <v>318222.5118264613</v>
      </c>
      <c r="AE26" s="31">
        <v>337555.0333259293</v>
      </c>
      <c r="AF26" s="31">
        <v>271424.427753464</v>
      </c>
      <c r="AG26" s="31">
        <v>355966.5727866409</v>
      </c>
      <c r="AH26" s="31">
        <v>379022.6735148751</v>
      </c>
      <c r="AI26" s="31">
        <v>461628.7479112811</v>
      </c>
      <c r="AJ26" s="31">
        <v>277280.9309026174</v>
      </c>
      <c r="AK26" s="31">
        <v>270088.6540531361</v>
      </c>
      <c r="AL26" s="36">
        <v>245082.8528779978</v>
      </c>
      <c r="AM26" s="36">
        <v>221399.9126841301</v>
      </c>
      <c r="AN26" s="36">
        <v>201324.6196258238</v>
      </c>
      <c r="AO26" s="36">
        <v>180326.0171604445</v>
      </c>
      <c r="AP26" s="36">
        <v>192209.0677611014</v>
      </c>
      <c r="AQ26" s="36">
        <v>231837.056350732</v>
      </c>
      <c r="AR26" s="36">
        <v>179421.4891843665</v>
      </c>
      <c r="AS26" s="36">
        <v>151428.1751327721</v>
      </c>
      <c r="AT26" s="36">
        <v>222389.7082201925</v>
      </c>
      <c r="AU26" s="36">
        <v>322616.6486184589</v>
      </c>
      <c r="AV26" s="36">
        <v>213864.0913374636</v>
      </c>
      <c r="AW26" s="36">
        <v>246873.5873652182</v>
      </c>
      <c r="AX26" s="36">
        <v>265583.9282692711</v>
      </c>
      <c r="AY26" s="37">
        <v>271497.425488554</v>
      </c>
      <c r="AZ26" s="37">
        <v>292243.9554607238</v>
      </c>
      <c r="BA26" s="37">
        <v>250454.4219126856</v>
      </c>
      <c r="BB26" s="37">
        <v>260272.0886460463</v>
      </c>
      <c r="BC26" s="37">
        <v>294325.5019731531</v>
      </c>
      <c r="BD26" s="37">
        <v>275463.3879661473</v>
      </c>
      <c r="BE26" s="37">
        <v>333949.1947935621</v>
      </c>
    </row>
    <row r="27">
      <c r="D27" s="3"/>
      <c r="F27" s="4"/>
      <c r="G27" s="4"/>
      <c r="H27" s="5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>
        <f t="shared" ref="F29:G29" si="23">J29</f>
        <v>1</v>
      </c>
      <c r="G29" s="55">
        <f t="shared" si="23"/>
        <v>1</v>
      </c>
      <c r="H29" s="56">
        <f t="shared" ref="H29:H37" si="25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4">J30</f>
        <v>0.4522173617</v>
      </c>
      <c r="G30" s="55">
        <f t="shared" si="24"/>
        <v>0.4196938408</v>
      </c>
      <c r="H30" s="32">
        <f t="shared" si="25"/>
        <v>0.07749344332</v>
      </c>
      <c r="I30" s="30"/>
      <c r="J30" s="40">
        <v>0.45221736166720716</v>
      </c>
      <c r="K30" s="40">
        <v>0.4196938408035108</v>
      </c>
      <c r="L30" s="40">
        <v>0.42346201842332387</v>
      </c>
      <c r="M30" s="40">
        <v>0.4019044720512696</v>
      </c>
      <c r="N30" s="40">
        <v>0.4134033796116644</v>
      </c>
      <c r="O30" s="40">
        <v>0.4182005386256363</v>
      </c>
      <c r="P30" s="40">
        <v>0.42189511598570606</v>
      </c>
      <c r="Q30" s="40">
        <v>0.44684345653276125</v>
      </c>
      <c r="R30" s="40">
        <v>0.4434881856244182</v>
      </c>
      <c r="S30" s="40">
        <v>0.44597203825484166</v>
      </c>
      <c r="T30" s="40">
        <v>0.441441818008518</v>
      </c>
      <c r="U30" s="40">
        <v>0.4427050473659986</v>
      </c>
      <c r="V30" s="40">
        <v>0.43549685791575016</v>
      </c>
      <c r="W30" s="40">
        <v>0.4196933060690538</v>
      </c>
      <c r="X30" s="31">
        <v>0.42411033845425977</v>
      </c>
      <c r="Y30" s="31">
        <v>0.42241289521683684</v>
      </c>
      <c r="Z30" s="31">
        <v>0.41580808409505093</v>
      </c>
      <c r="AA30" s="31">
        <v>0.42411604314232465</v>
      </c>
      <c r="AB30" s="31">
        <v>0.4217513943791104</v>
      </c>
      <c r="AC30" s="31">
        <v>0.4226869975059161</v>
      </c>
      <c r="AD30" s="31">
        <v>0.4242022372038105</v>
      </c>
      <c r="AE30" s="31">
        <v>0.4151380920245194</v>
      </c>
      <c r="AF30" s="31">
        <v>0.4128170798877297</v>
      </c>
      <c r="AG30" s="31">
        <v>0.4043805275730566</v>
      </c>
      <c r="AH30" s="31">
        <v>0.4010112291023976</v>
      </c>
      <c r="AI30" s="31">
        <v>0.39451422922987056</v>
      </c>
      <c r="AJ30" s="31">
        <v>0.40391263411700357</v>
      </c>
      <c r="AK30" s="31">
        <v>0.3990994277011913</v>
      </c>
      <c r="AL30" s="31">
        <v>0.39781645836736634</v>
      </c>
      <c r="AM30" s="31">
        <v>0.4027972158570962</v>
      </c>
      <c r="AN30" s="31">
        <v>0.39937261175016614</v>
      </c>
      <c r="AO30" s="31">
        <v>0.4032999148031636</v>
      </c>
      <c r="AP30" s="31">
        <v>0.40044625417161095</v>
      </c>
      <c r="AQ30" s="31">
        <v>0.39420495193080746</v>
      </c>
      <c r="AR30" s="31">
        <v>0.39517115428176547</v>
      </c>
      <c r="AS30" s="31">
        <v>0.39699720009837497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6">J31</f>
        <v>0.06553145867</v>
      </c>
      <c r="G31" s="55">
        <f t="shared" si="26"/>
        <v>0.07711158125</v>
      </c>
      <c r="H31" s="32">
        <f t="shared" si="25"/>
        <v>-0.1501735847</v>
      </c>
      <c r="I31" s="30"/>
      <c r="J31" s="40">
        <v>0.0655314586738847</v>
      </c>
      <c r="K31" s="40">
        <v>0.07711158124881308</v>
      </c>
      <c r="L31" s="40">
        <v>0.07967123722700871</v>
      </c>
      <c r="M31" s="40">
        <v>0.06982200460476694</v>
      </c>
      <c r="N31" s="40">
        <v>0.07301781069000704</v>
      </c>
      <c r="O31" s="40">
        <v>0.07140927310244151</v>
      </c>
      <c r="P31" s="40">
        <v>0.05667298074543987</v>
      </c>
      <c r="Q31" s="40">
        <v>0.04133442817002692</v>
      </c>
      <c r="R31" s="40">
        <v>0.04831090001925656</v>
      </c>
      <c r="S31" s="40">
        <v>0.049408224752057354</v>
      </c>
      <c r="T31" s="40">
        <v>0.05392199167581324</v>
      </c>
      <c r="U31" s="40">
        <v>0.058224887648708486</v>
      </c>
      <c r="V31" s="40">
        <v>0.0467135522545905</v>
      </c>
      <c r="W31" s="40">
        <v>0.042363952121844524</v>
      </c>
      <c r="X31" s="31">
        <v>0.0402584869358874</v>
      </c>
      <c r="Y31" s="31">
        <v>0.04119514723092061</v>
      </c>
      <c r="Z31" s="31">
        <v>0.04089023524059714</v>
      </c>
      <c r="AA31" s="31">
        <v>0.04058854883874597</v>
      </c>
      <c r="AB31" s="31">
        <v>0.03987909733497144</v>
      </c>
      <c r="AC31" s="31">
        <v>0.03888985670415231</v>
      </c>
      <c r="AD31" s="31">
        <v>0.039132633499477765</v>
      </c>
      <c r="AE31" s="31">
        <v>0.03706667498522424</v>
      </c>
      <c r="AF31" s="31">
        <v>0.03508997604525385</v>
      </c>
      <c r="AG31" s="31">
        <v>0.034883730364839965</v>
      </c>
      <c r="AH31" s="31">
        <v>0.03767765846210714</v>
      </c>
      <c r="AI31" s="31">
        <v>0.041740109260799275</v>
      </c>
      <c r="AJ31" s="31">
        <v>0.03777588801428651</v>
      </c>
      <c r="AK31" s="31">
        <v>0.03874799087035791</v>
      </c>
      <c r="AL31" s="31">
        <v>0.03799206781482199</v>
      </c>
      <c r="AM31" s="31">
        <v>0.036804466535786215</v>
      </c>
      <c r="AN31" s="31">
        <v>0.03609982818911077</v>
      </c>
      <c r="AO31" s="31">
        <v>0.0351048445188207</v>
      </c>
      <c r="AP31" s="31">
        <v>0.034798726881058575</v>
      </c>
      <c r="AQ31" s="31">
        <v>0.03499152607685835</v>
      </c>
      <c r="AR31" s="31">
        <v>0.03399235497393544</v>
      </c>
      <c r="AS31" s="31">
        <v>0.0346708539069348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27">J32</f>
        <v>0.1012332647</v>
      </c>
      <c r="G32" s="55">
        <f t="shared" si="27"/>
        <v>0.09233357173</v>
      </c>
      <c r="H32" s="32">
        <f t="shared" si="25"/>
        <v>0.09638631793</v>
      </c>
      <c r="I32" s="30"/>
      <c r="J32" s="40">
        <v>0.1012332647267096</v>
      </c>
      <c r="K32" s="40">
        <v>0.09233357172633241</v>
      </c>
      <c r="L32" s="40">
        <v>0.09447493327506354</v>
      </c>
      <c r="M32" s="40">
        <v>0.09426863401808082</v>
      </c>
      <c r="N32" s="40">
        <v>0.10851262593598643</v>
      </c>
      <c r="O32" s="40">
        <v>0.1073676471503338</v>
      </c>
      <c r="P32" s="40">
        <v>0.10421748688848416</v>
      </c>
      <c r="Q32" s="40">
        <v>0.10718663329636743</v>
      </c>
      <c r="R32" s="40">
        <v>0.10695660733193726</v>
      </c>
      <c r="S32" s="40">
        <v>0.10958461948413925</v>
      </c>
      <c r="T32" s="40">
        <v>0.11163428018272563</v>
      </c>
      <c r="U32" s="40">
        <v>0.11380918446521827</v>
      </c>
      <c r="V32" s="40">
        <v>0.11188396239488672</v>
      </c>
      <c r="W32" s="40">
        <v>0.10911431895795644</v>
      </c>
      <c r="X32" s="31">
        <v>0.11295481696818292</v>
      </c>
      <c r="Y32" s="31">
        <v>0.11480520926656358</v>
      </c>
      <c r="Z32" s="31">
        <v>0.11993693650865672</v>
      </c>
      <c r="AA32" s="31">
        <v>0.10858423558717895</v>
      </c>
      <c r="AB32" s="31">
        <v>0.10695233890697717</v>
      </c>
      <c r="AC32" s="31">
        <v>0.11205357121432662</v>
      </c>
      <c r="AD32" s="31">
        <v>0.1186436023883305</v>
      </c>
      <c r="AE32" s="31">
        <v>0.1296054289065748</v>
      </c>
      <c r="AF32" s="31">
        <v>0.13955604682588738</v>
      </c>
      <c r="AG32" s="31">
        <v>0.15416438273915284</v>
      </c>
      <c r="AH32" s="31">
        <v>0.1471981043889342</v>
      </c>
      <c r="AI32" s="31">
        <v>0.13451632389336773</v>
      </c>
      <c r="AJ32" s="31">
        <v>0.13577932971024842</v>
      </c>
      <c r="AK32" s="31">
        <v>0.1390706010889742</v>
      </c>
      <c r="AL32" s="31">
        <v>0.1357528275889872</v>
      </c>
      <c r="AM32" s="31">
        <v>0.13773700387151833</v>
      </c>
      <c r="AN32" s="31">
        <v>0.13732638498871982</v>
      </c>
      <c r="AO32" s="31">
        <v>0.13712683724722805</v>
      </c>
      <c r="AP32" s="31">
        <v>0.14470438790649973</v>
      </c>
      <c r="AQ32" s="31">
        <v>0.14662364790372287</v>
      </c>
      <c r="AR32" s="31">
        <v>0.14612545105970007</v>
      </c>
      <c r="AS32" s="31">
        <v>0.1508327184900711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28">J33</f>
        <v>0.0410415412</v>
      </c>
      <c r="G33" s="55">
        <f t="shared" si="28"/>
        <v>0.04097746116</v>
      </c>
      <c r="H33" s="32">
        <f t="shared" si="25"/>
        <v>0.00156378751</v>
      </c>
      <c r="I33" s="30"/>
      <c r="J33" s="40">
        <v>0.041041541200373254</v>
      </c>
      <c r="K33" s="40">
        <v>0.04097746115840428</v>
      </c>
      <c r="L33" s="40">
        <v>0.04208857366560776</v>
      </c>
      <c r="M33" s="40">
        <v>0.040547106991811396</v>
      </c>
      <c r="N33" s="40">
        <v>0.03965923626381523</v>
      </c>
      <c r="O33" s="40">
        <v>0.039708432211547975</v>
      </c>
      <c r="P33" s="40">
        <v>0.04015875784358661</v>
      </c>
      <c r="Q33" s="40">
        <v>0.04216666565666972</v>
      </c>
      <c r="R33" s="40">
        <v>0.04202468718050963</v>
      </c>
      <c r="S33" s="40">
        <v>0.04160661387856402</v>
      </c>
      <c r="T33" s="40">
        <v>0.041140527604091204</v>
      </c>
      <c r="U33" s="40">
        <v>0.040834822471139565</v>
      </c>
      <c r="V33" s="40">
        <v>0.04161886159393974</v>
      </c>
      <c r="W33" s="40">
        <v>0.04262112141076155</v>
      </c>
      <c r="X33" s="31">
        <v>0.04498187546477758</v>
      </c>
      <c r="Y33" s="31">
        <v>0.04407570617833003</v>
      </c>
      <c r="Z33" s="31">
        <v>0.044588755886483554</v>
      </c>
      <c r="AA33" s="31">
        <v>0.04902444673765207</v>
      </c>
      <c r="AB33" s="31">
        <v>0.05043581305783636</v>
      </c>
      <c r="AC33" s="31">
        <v>0.050996505786975385</v>
      </c>
      <c r="AD33" s="31">
        <v>0.05179254455237109</v>
      </c>
      <c r="AE33" s="31">
        <v>0.052820538709153535</v>
      </c>
      <c r="AF33" s="31">
        <v>0.05323020716983332</v>
      </c>
      <c r="AG33" s="31">
        <v>0.049835423921481034</v>
      </c>
      <c r="AH33" s="31">
        <v>0.047956218953467036</v>
      </c>
      <c r="AI33" s="31">
        <v>0.04886578837549809</v>
      </c>
      <c r="AJ33" s="31">
        <v>0.04911836599020898</v>
      </c>
      <c r="AK33" s="31">
        <v>0.04860110187075798</v>
      </c>
      <c r="AL33" s="31">
        <v>0.05266589648908489</v>
      </c>
      <c r="AM33" s="31">
        <v>0.05278586898637074</v>
      </c>
      <c r="AN33" s="31">
        <v>0.05215012880431254</v>
      </c>
      <c r="AO33" s="31">
        <v>0.05248518196654775</v>
      </c>
      <c r="AP33" s="31">
        <v>0.05173263158826763</v>
      </c>
      <c r="AQ33" s="31">
        <v>0.05066203402852983</v>
      </c>
      <c r="AR33" s="31">
        <v>0.0511215140393762</v>
      </c>
      <c r="AS33" s="31">
        <v>0.04748828644759328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29">J34</f>
        <v>0.07706597486</v>
      </c>
      <c r="G34" s="55">
        <f t="shared" si="29"/>
        <v>0.08112617781</v>
      </c>
      <c r="H34" s="32">
        <f t="shared" si="25"/>
        <v>-0.050048</v>
      </c>
      <c r="I34" s="30"/>
      <c r="J34" s="40">
        <v>0.0770659748648273</v>
      </c>
      <c r="K34" s="40">
        <v>0.08112617781229162</v>
      </c>
      <c r="L34" s="40">
        <v>0.07951752675500245</v>
      </c>
      <c r="M34" s="40">
        <v>0.07799478277174557</v>
      </c>
      <c r="N34" s="40">
        <v>0.08742203107259373</v>
      </c>
      <c r="O34" s="40">
        <v>0.08631700116457337</v>
      </c>
      <c r="P34" s="40">
        <v>0.08425817010696077</v>
      </c>
      <c r="Q34" s="40">
        <v>0.08690437954877377</v>
      </c>
      <c r="R34" s="40">
        <v>0.08774418065649874</v>
      </c>
      <c r="S34" s="40">
        <v>0.08345120212552831</v>
      </c>
      <c r="T34" s="40">
        <v>0.08247067144879652</v>
      </c>
      <c r="U34" s="40">
        <v>0.08367121840113667</v>
      </c>
      <c r="V34" s="40">
        <v>0.08476435588681211</v>
      </c>
      <c r="W34" s="40">
        <v>0.08374643918540002</v>
      </c>
      <c r="X34" s="31">
        <v>0.08629525659815346</v>
      </c>
      <c r="Y34" s="31">
        <v>0.08007867078092425</v>
      </c>
      <c r="Z34" s="31">
        <v>0.08246615979224871</v>
      </c>
      <c r="AA34" s="31">
        <v>0.08313854815880917</v>
      </c>
      <c r="AB34" s="31">
        <v>0.08582995206685662</v>
      </c>
      <c r="AC34" s="31">
        <v>0.09171001439245277</v>
      </c>
      <c r="AD34" s="31">
        <v>0.08980774570036439</v>
      </c>
      <c r="AE34" s="31">
        <v>0.08592812004250083</v>
      </c>
      <c r="AF34" s="31">
        <v>0.08680383241133133</v>
      </c>
      <c r="AG34" s="31">
        <v>0.08834438331175265</v>
      </c>
      <c r="AH34" s="31">
        <v>0.08459382363424242</v>
      </c>
      <c r="AI34" s="31">
        <v>0.09094245723028485</v>
      </c>
      <c r="AJ34" s="31">
        <v>0.09443420662637404</v>
      </c>
      <c r="AK34" s="31">
        <v>0.08509990487386183</v>
      </c>
      <c r="AL34" s="31">
        <v>0.08913678659011924</v>
      </c>
      <c r="AM34" s="31">
        <v>0.08546245147868684</v>
      </c>
      <c r="AN34" s="31">
        <v>0.08047876859938274</v>
      </c>
      <c r="AO34" s="31">
        <v>0.09162087895345619</v>
      </c>
      <c r="AP34" s="31">
        <v>0.09022999218230839</v>
      </c>
      <c r="AQ34" s="31">
        <v>0.08446808362712609</v>
      </c>
      <c r="AR34" s="31">
        <v>0.08661844156574741</v>
      </c>
      <c r="AS34" s="31">
        <v>0.09137784798552125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30">J35</f>
        <v>0.01094121229</v>
      </c>
      <c r="G35" s="55">
        <f t="shared" si="30"/>
        <v>0.01482876668</v>
      </c>
      <c r="H35" s="32">
        <f t="shared" si="25"/>
        <v>-0.2621630296</v>
      </c>
      <c r="I35" s="30"/>
      <c r="J35" s="40">
        <v>0.01094121228565945</v>
      </c>
      <c r="K35" s="40">
        <v>0.01482876668460847</v>
      </c>
      <c r="L35" s="40">
        <v>0.014549838128190728</v>
      </c>
      <c r="M35" s="40">
        <v>0.013738449803847483</v>
      </c>
      <c r="N35" s="40">
        <v>0.01081800902571178</v>
      </c>
      <c r="O35" s="40">
        <v>0.009272749512330834</v>
      </c>
      <c r="P35" s="40">
        <v>0.01059710634017336</v>
      </c>
      <c r="Q35" s="40">
        <v>0.01021349315525067</v>
      </c>
      <c r="R35" s="40">
        <v>0.010406822838718617</v>
      </c>
      <c r="S35" s="40">
        <v>0.010922410825256598</v>
      </c>
      <c r="T35" s="40">
        <v>0.010546516142392222</v>
      </c>
      <c r="U35" s="40">
        <v>0.009574144642048124</v>
      </c>
      <c r="V35" s="40">
        <v>0.010730744429668426</v>
      </c>
      <c r="W35" s="40">
        <v>0.018270798978522452</v>
      </c>
      <c r="X35" s="31">
        <v>0.019764822371915108</v>
      </c>
      <c r="Y35" s="31">
        <v>0.018136597811562714</v>
      </c>
      <c r="Z35" s="31">
        <v>0.020090306971582553</v>
      </c>
      <c r="AA35" s="31">
        <v>0.015318753258959393</v>
      </c>
      <c r="AB35" s="31">
        <v>0.015345552363885264</v>
      </c>
      <c r="AC35" s="31">
        <v>0.013464069978322538</v>
      </c>
      <c r="AD35" s="31">
        <v>0.011239284599214264</v>
      </c>
      <c r="AE35" s="31">
        <v>0.008460877934851407</v>
      </c>
      <c r="AF35" s="31">
        <v>0.006232178599904692</v>
      </c>
      <c r="AG35" s="31">
        <v>0.006721672566337831</v>
      </c>
      <c r="AH35" s="31">
        <v>0.00691780699616467</v>
      </c>
      <c r="AI35" s="31">
        <v>0.005095662864836972</v>
      </c>
      <c r="AJ35" s="31">
        <v>0.007488139859385476</v>
      </c>
      <c r="AK35" s="31">
        <v>0.007018671693707853</v>
      </c>
      <c r="AL35" s="31">
        <v>0.005722299048672508</v>
      </c>
      <c r="AM35" s="31">
        <v>0.003050780217622228</v>
      </c>
      <c r="AN35" s="31">
        <v>0.0010597005142017103</v>
      </c>
      <c r="AO35" s="31">
        <v>7.594889652423723E-4</v>
      </c>
      <c r="AP35" s="31">
        <v>8.499446810172114E-4</v>
      </c>
      <c r="AQ35" s="31">
        <v>0.0010092647403951963</v>
      </c>
      <c r="AR35" s="31">
        <v>9.176749596900174E-4</v>
      </c>
      <c r="AS35" s="31">
        <v>8.081040744910153E-4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1">J36</f>
        <v>0.02639457853</v>
      </c>
      <c r="G36" s="55">
        <f t="shared" si="31"/>
        <v>0.022088964</v>
      </c>
      <c r="H36" s="32">
        <f t="shared" si="25"/>
        <v>0.1949215241</v>
      </c>
      <c r="I36" s="30"/>
      <c r="J36" s="40">
        <v>0.026394578532524172</v>
      </c>
      <c r="K36" s="40">
        <v>0.022088964003172958</v>
      </c>
      <c r="L36" s="40">
        <v>0.015524395147933188</v>
      </c>
      <c r="M36" s="40">
        <v>0.010410994528835857</v>
      </c>
      <c r="N36" s="40">
        <v>0.00488671150778252</v>
      </c>
      <c r="O36" s="40">
        <v>0.0035114594707752822</v>
      </c>
      <c r="P36" s="40">
        <v>0.00201438717606545</v>
      </c>
      <c r="Q36" s="40">
        <v>0.0018901082918729582</v>
      </c>
      <c r="R36" s="40">
        <v>0.0013474349624675312</v>
      </c>
      <c r="S36" s="40">
        <v>7.876397260620347E-4</v>
      </c>
      <c r="T36" s="40">
        <v>6.917669146587211E-5</v>
      </c>
      <c r="U36" s="40">
        <v>7.899117751221431E-5</v>
      </c>
      <c r="V36" s="40">
        <v>0.0</v>
      </c>
      <c r="W36" s="40">
        <v>0.0</v>
      </c>
      <c r="X36" s="31">
        <v>0.0</v>
      </c>
      <c r="Y36" s="31">
        <v>0.0</v>
      </c>
      <c r="Z36" s="31">
        <v>0.0</v>
      </c>
      <c r="AA36" s="31">
        <v>0.0</v>
      </c>
      <c r="AB36" s="31">
        <v>0.0</v>
      </c>
      <c r="AC36" s="31">
        <v>0.0</v>
      </c>
      <c r="AD36" s="31">
        <v>0.0</v>
      </c>
      <c r="AE36" s="31">
        <v>0.0</v>
      </c>
      <c r="AF36" s="31">
        <v>0.0</v>
      </c>
      <c r="AG36" s="31">
        <v>0.0</v>
      </c>
      <c r="AH36" s="31">
        <v>0.0</v>
      </c>
      <c r="AI36" s="31">
        <v>0.0</v>
      </c>
      <c r="AJ36" s="31">
        <v>0.0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2">J37</f>
        <v>0.225574608</v>
      </c>
      <c r="G37" s="55">
        <f t="shared" si="32"/>
        <v>0.2518396366</v>
      </c>
      <c r="H37" s="56">
        <f t="shared" si="25"/>
        <v>-0.1042926716</v>
      </c>
      <c r="I37" s="30"/>
      <c r="J37" s="40">
        <v>0.22557460804881438</v>
      </c>
      <c r="K37" s="40">
        <v>0.25183963656286634</v>
      </c>
      <c r="L37" s="40">
        <v>0.2507114773778698</v>
      </c>
      <c r="M37" s="40">
        <v>0.29131355522964225</v>
      </c>
      <c r="N37" s="40">
        <v>0.26228019589243884</v>
      </c>
      <c r="O37" s="40">
        <v>0.26421289876236104</v>
      </c>
      <c r="P37" s="40">
        <v>0.2801859949135837</v>
      </c>
      <c r="Q37" s="40">
        <v>0.2634608353482773</v>
      </c>
      <c r="R37" s="40">
        <v>0.25972118138619343</v>
      </c>
      <c r="S37" s="40">
        <v>0.2582672509535507</v>
      </c>
      <c r="T37" s="40">
        <v>0.25877501824619736</v>
      </c>
      <c r="U37" s="40">
        <v>0.2511017038282381</v>
      </c>
      <c r="V37" s="40">
        <v>0.2687916655243523</v>
      </c>
      <c r="W37" s="40">
        <v>0.2841900632764611</v>
      </c>
      <c r="X37" s="31">
        <v>0.27163440320682386</v>
      </c>
      <c r="Y37" s="31">
        <v>0.27929577351486196</v>
      </c>
      <c r="Z37" s="31">
        <v>0.27621952150538037</v>
      </c>
      <c r="AA37" s="31">
        <v>0.2792294242763298</v>
      </c>
      <c r="AB37" s="31">
        <v>0.2798058518903628</v>
      </c>
      <c r="AC37" s="31">
        <v>0.27019898441785434</v>
      </c>
      <c r="AD37" s="31">
        <v>0.2651819520564316</v>
      </c>
      <c r="AE37" s="31">
        <v>0.2709802673971757</v>
      </c>
      <c r="AF37" s="31">
        <v>0.2662706790600597</v>
      </c>
      <c r="AG37" s="31">
        <v>0.2616698795233792</v>
      </c>
      <c r="AH37" s="31">
        <v>0.274645158462687</v>
      </c>
      <c r="AI37" s="31">
        <v>0.28432542914534253</v>
      </c>
      <c r="AJ37" s="31">
        <v>0.27149143568249307</v>
      </c>
      <c r="AK37" s="31">
        <v>0.28236230190114897</v>
      </c>
      <c r="AL37" s="31">
        <v>0.28091366410094787</v>
      </c>
      <c r="AM37" s="31">
        <v>0.2813622130529194</v>
      </c>
      <c r="AN37" s="31">
        <v>0.29351257715410634</v>
      </c>
      <c r="AO37" s="31">
        <v>0.2796028535455414</v>
      </c>
      <c r="AP37" s="31">
        <v>0.2772380625892375</v>
      </c>
      <c r="AQ37" s="31">
        <v>0.2880404916925602</v>
      </c>
      <c r="AR37" s="31">
        <v>0.2860534091197854</v>
      </c>
      <c r="AS37" s="31">
        <v>0.2778249889970135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3">J40</f>
        <v>1</v>
      </c>
      <c r="G40" s="55">
        <f t="shared" si="33"/>
        <v>1</v>
      </c>
      <c r="H40" s="32">
        <f t="shared" ref="H40:H48" si="35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>
        <v>1.0</v>
      </c>
      <c r="AO40" s="31">
        <v>1.0</v>
      </c>
      <c r="AP40" s="31">
        <v>1.0</v>
      </c>
      <c r="AQ40" s="31">
        <v>1.0</v>
      </c>
      <c r="AR40" s="31">
        <v>1.0</v>
      </c>
      <c r="AS40" s="31">
        <v>1.0</v>
      </c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4">J41</f>
        <v>0.5466587648</v>
      </c>
      <c r="G41" s="55">
        <f t="shared" si="34"/>
        <v>0.4764300846</v>
      </c>
      <c r="H41" s="32">
        <f t="shared" si="35"/>
        <v>0.1474060569</v>
      </c>
      <c r="I41" s="30"/>
      <c r="J41" s="40">
        <v>0.5466587647730664</v>
      </c>
      <c r="K41" s="40">
        <v>0.47643008461380554</v>
      </c>
      <c r="L41" s="40">
        <v>0.5134341995455204</v>
      </c>
      <c r="M41" s="40">
        <v>0.5178624912717606</v>
      </c>
      <c r="N41" s="40">
        <v>0.5514154689759004</v>
      </c>
      <c r="O41" s="40">
        <v>0.6006015399647262</v>
      </c>
      <c r="P41" s="40">
        <v>0.6091174487976444</v>
      </c>
      <c r="Q41" s="40">
        <v>0.6124506937784254</v>
      </c>
      <c r="R41" s="40">
        <v>0.5929992874954773</v>
      </c>
      <c r="S41" s="40">
        <v>0.567132759211345</v>
      </c>
      <c r="T41" s="40">
        <v>0.574107856977296</v>
      </c>
      <c r="U41" s="40">
        <v>0.5470019861025929</v>
      </c>
      <c r="V41" s="40">
        <v>0.5584639810131613</v>
      </c>
      <c r="W41" s="40">
        <v>0.541225126618227</v>
      </c>
      <c r="X41" s="31">
        <v>0.5841506463649786</v>
      </c>
      <c r="Y41" s="31">
        <v>0.5906031589055493</v>
      </c>
      <c r="Z41" s="31">
        <v>0.5808037177565886</v>
      </c>
      <c r="AA41" s="31">
        <v>0.594986880448892</v>
      </c>
      <c r="AB41" s="31">
        <v>0.6053663446432742</v>
      </c>
      <c r="AC41" s="31">
        <v>0.6067132040690161</v>
      </c>
      <c r="AD41" s="31">
        <v>0.6160729458191663</v>
      </c>
      <c r="AE41" s="31">
        <v>0.638114519266711</v>
      </c>
      <c r="AF41" s="31">
        <v>0.6252598108287291</v>
      </c>
      <c r="AG41" s="31">
        <v>0.6229533916444704</v>
      </c>
      <c r="AH41" s="31">
        <v>0.6224956520031449</v>
      </c>
      <c r="AI41" s="31">
        <v>0.6307514868173371</v>
      </c>
      <c r="AJ41" s="31">
        <v>0.6313798238942935</v>
      </c>
      <c r="AK41" s="31">
        <v>0.6271341093328231</v>
      </c>
      <c r="AL41" s="31">
        <v>0.6474760219149717</v>
      </c>
      <c r="AM41" s="31">
        <v>0.6619830160560011</v>
      </c>
      <c r="AN41" s="31">
        <v>0.6858434089194275</v>
      </c>
      <c r="AO41" s="31">
        <v>0.7009870322580993</v>
      </c>
      <c r="AP41" s="31">
        <v>0.6949515857039815</v>
      </c>
      <c r="AQ41" s="31">
        <v>0.6769558563895705</v>
      </c>
      <c r="AR41" s="31">
        <v>0.6764697031909438</v>
      </c>
      <c r="AS41" s="31">
        <v>0.6888805888515364</v>
      </c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6">J42</f>
        <v>0.1614066397</v>
      </c>
      <c r="G42" s="55">
        <f t="shared" si="36"/>
        <v>0.1923831633</v>
      </c>
      <c r="H42" s="32">
        <f t="shared" si="35"/>
        <v>-0.1610147327</v>
      </c>
      <c r="I42" s="30"/>
      <c r="J42" s="40">
        <v>0.16140663970311073</v>
      </c>
      <c r="K42" s="40">
        <v>0.1923831633158194</v>
      </c>
      <c r="L42" s="40">
        <v>0.17311287555094051</v>
      </c>
      <c r="M42" s="40">
        <v>0.1544460218023316</v>
      </c>
      <c r="N42" s="40">
        <v>0.14318081877115615</v>
      </c>
      <c r="O42" s="40">
        <v>0.12229380719762242</v>
      </c>
      <c r="P42" s="40">
        <v>0.09986343881213243</v>
      </c>
      <c r="Q42" s="40">
        <v>0.087195026683207</v>
      </c>
      <c r="R42" s="40">
        <v>0.10741673290888576</v>
      </c>
      <c r="S42" s="40">
        <v>0.1368879026012914</v>
      </c>
      <c r="T42" s="40">
        <v>0.11818138066447635</v>
      </c>
      <c r="U42" s="40">
        <v>0.12141889004337622</v>
      </c>
      <c r="V42" s="40">
        <v>0.11394662079707896</v>
      </c>
      <c r="W42" s="40">
        <v>0.10167036181758748</v>
      </c>
      <c r="X42" s="31">
        <v>0.075800812110537</v>
      </c>
      <c r="Y42" s="31">
        <v>0.07433524820278872</v>
      </c>
      <c r="Z42" s="31">
        <v>0.07391560793876503</v>
      </c>
      <c r="AA42" s="31">
        <v>0.07355761563892299</v>
      </c>
      <c r="AB42" s="31">
        <v>0.07482799706605993</v>
      </c>
      <c r="AC42" s="31">
        <v>0.07531577203250939</v>
      </c>
      <c r="AD42" s="31">
        <v>0.0740355905472235</v>
      </c>
      <c r="AE42" s="31">
        <v>0.06700318979368494</v>
      </c>
      <c r="AF42" s="31">
        <v>0.0730119632489597</v>
      </c>
      <c r="AG42" s="31">
        <v>0.07089105119947668</v>
      </c>
      <c r="AH42" s="31">
        <v>0.07954065668209671</v>
      </c>
      <c r="AI42" s="31">
        <v>0.0870033042672695</v>
      </c>
      <c r="AJ42" s="31">
        <v>0.07824811877732919</v>
      </c>
      <c r="AK42" s="31">
        <v>0.07794606356044588</v>
      </c>
      <c r="AL42" s="31">
        <v>0.07716941194689034</v>
      </c>
      <c r="AM42" s="31">
        <v>0.08324617405076147</v>
      </c>
      <c r="AN42" s="31">
        <v>0.08143467328305053</v>
      </c>
      <c r="AO42" s="31">
        <v>0.08013031779375723</v>
      </c>
      <c r="AP42" s="31">
        <v>0.07920568989990623</v>
      </c>
      <c r="AQ42" s="31">
        <v>0.09049422085625772</v>
      </c>
      <c r="AR42" s="31">
        <v>0.08898525775425081</v>
      </c>
      <c r="AS42" s="31">
        <v>0.08997719077975383</v>
      </c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37">J43</f>
        <v>0.1277286355</v>
      </c>
      <c r="G43" s="55">
        <f t="shared" si="37"/>
        <v>0.1469926112</v>
      </c>
      <c r="H43" s="32">
        <f t="shared" si="35"/>
        <v>-0.1310540413</v>
      </c>
      <c r="I43" s="30"/>
      <c r="J43" s="40">
        <v>0.12772863549816244</v>
      </c>
      <c r="K43" s="40">
        <v>0.14699261124177418</v>
      </c>
      <c r="L43" s="40">
        <v>0.1343285428180973</v>
      </c>
      <c r="M43" s="40">
        <v>0.14779582425142931</v>
      </c>
      <c r="N43" s="40">
        <v>0.1774648008652127</v>
      </c>
      <c r="O43" s="40">
        <v>0.15535394159278995</v>
      </c>
      <c r="P43" s="40">
        <v>0.15092833497964983</v>
      </c>
      <c r="Q43" s="40">
        <v>0.16517096370111511</v>
      </c>
      <c r="R43" s="40">
        <v>0.1495801249079176</v>
      </c>
      <c r="S43" s="40">
        <v>0.14742590337010109</v>
      </c>
      <c r="T43" s="40">
        <v>0.15728416409165932</v>
      </c>
      <c r="U43" s="40">
        <v>0.17485448675350282</v>
      </c>
      <c r="V43" s="40">
        <v>0.1814616497904284</v>
      </c>
      <c r="W43" s="40">
        <v>0.19065861111712</v>
      </c>
      <c r="X43" s="31">
        <v>0.175718945093934</v>
      </c>
      <c r="Y43" s="31">
        <v>0.17532049705175048</v>
      </c>
      <c r="Z43" s="31">
        <v>0.18867390228513062</v>
      </c>
      <c r="AA43" s="31">
        <v>0.1602068989539393</v>
      </c>
      <c r="AB43" s="31">
        <v>0.1623703195039333</v>
      </c>
      <c r="AC43" s="31">
        <v>0.16703905073951256</v>
      </c>
      <c r="AD43" s="31">
        <v>0.1666564575985022</v>
      </c>
      <c r="AE43" s="31">
        <v>0.14870261646564614</v>
      </c>
      <c r="AF43" s="31">
        <v>0.14956039911900992</v>
      </c>
      <c r="AG43" s="31">
        <v>0.15826774900681356</v>
      </c>
      <c r="AH43" s="31">
        <v>0.1662696967262509</v>
      </c>
      <c r="AI43" s="31">
        <v>0.154365250786547</v>
      </c>
      <c r="AJ43" s="31">
        <v>0.1488173192085826</v>
      </c>
      <c r="AK43" s="31">
        <v>0.15325879654294214</v>
      </c>
      <c r="AL43" s="31">
        <v>0.14324549882124357</v>
      </c>
      <c r="AM43" s="31">
        <v>0.160070645862114</v>
      </c>
      <c r="AN43" s="31">
        <v>0.14281844382894263</v>
      </c>
      <c r="AO43" s="31">
        <v>0.1384652109919986</v>
      </c>
      <c r="AP43" s="31">
        <v>0.15275198284667352</v>
      </c>
      <c r="AQ43" s="31">
        <v>0.16069680014841742</v>
      </c>
      <c r="AR43" s="31">
        <v>0.15979419559336425</v>
      </c>
      <c r="AS43" s="31">
        <v>0.15547354263686192</v>
      </c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38">J44</f>
        <v>0.0679116899</v>
      </c>
      <c r="G44" s="55">
        <f t="shared" si="38"/>
        <v>0.07704976692</v>
      </c>
      <c r="H44" s="32">
        <f t="shared" si="35"/>
        <v>-0.1185996711</v>
      </c>
      <c r="I44" s="30"/>
      <c r="J44" s="40">
        <v>0.06791168990249664</v>
      </c>
      <c r="K44" s="40">
        <v>0.07704976692052694</v>
      </c>
      <c r="L44" s="40">
        <v>0.08404407637278248</v>
      </c>
      <c r="M44" s="40">
        <v>0.08375410813298324</v>
      </c>
      <c r="N44" s="40">
        <v>0.040186323510022756</v>
      </c>
      <c r="O44" s="40">
        <v>0.03397945091434401</v>
      </c>
      <c r="P44" s="40">
        <v>0.04935912628957981</v>
      </c>
      <c r="Q44" s="40">
        <v>0.047307843379956145</v>
      </c>
      <c r="R44" s="40">
        <v>0.057354392886912776</v>
      </c>
      <c r="S44" s="40">
        <v>0.05914788537124684</v>
      </c>
      <c r="T44" s="40">
        <v>0.06390219411019199</v>
      </c>
      <c r="U44" s="40">
        <v>0.06706942862788584</v>
      </c>
      <c r="V44" s="40">
        <v>0.06261313361762767</v>
      </c>
      <c r="W44" s="40">
        <v>0.07929185429150254</v>
      </c>
      <c r="X44" s="31">
        <v>0.08470926296024783</v>
      </c>
      <c r="Y44" s="31">
        <v>0.07923439090308901</v>
      </c>
      <c r="Z44" s="31">
        <v>0.07693172391111625</v>
      </c>
      <c r="AA44" s="31">
        <v>0.092918058764723</v>
      </c>
      <c r="AB44" s="31">
        <v>0.08383576489566474</v>
      </c>
      <c r="AC44" s="31">
        <v>0.08159064661667187</v>
      </c>
      <c r="AD44" s="31">
        <v>0.0782253280116722</v>
      </c>
      <c r="AE44" s="31">
        <v>0.08151993484065287</v>
      </c>
      <c r="AF44" s="31">
        <v>0.09161485298988079</v>
      </c>
      <c r="AG44" s="31">
        <v>0.08951572663567038</v>
      </c>
      <c r="AH44" s="31">
        <v>0.07536482170740517</v>
      </c>
      <c r="AI44" s="31">
        <v>0.0679438934346999</v>
      </c>
      <c r="AJ44" s="31">
        <v>0.08664529946413958</v>
      </c>
      <c r="AK44" s="31">
        <v>0.08837943169694384</v>
      </c>
      <c r="AL44" s="31">
        <v>0.08432972011324825</v>
      </c>
      <c r="AM44" s="31">
        <v>0.04854510908160001</v>
      </c>
      <c r="AN44" s="31">
        <v>0.04655343392092748</v>
      </c>
      <c r="AO44" s="31">
        <v>0.038876010596584076</v>
      </c>
      <c r="AP44" s="31">
        <v>0.03601605693893655</v>
      </c>
      <c r="AQ44" s="31">
        <v>0.03438449141659943</v>
      </c>
      <c r="AR44" s="31">
        <v>0.040554056280472324</v>
      </c>
      <c r="AS44" s="31">
        <v>0.032632535210128814</v>
      </c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39">J45</f>
        <v>0.07885902606</v>
      </c>
      <c r="G45" s="55">
        <f t="shared" si="39"/>
        <v>0.08926992869</v>
      </c>
      <c r="H45" s="32">
        <f t="shared" si="35"/>
        <v>-0.1166227282</v>
      </c>
      <c r="I45" s="30"/>
      <c r="J45" s="40">
        <v>0.07885902606056912</v>
      </c>
      <c r="K45" s="40">
        <v>0.08926992869427988</v>
      </c>
      <c r="L45" s="40">
        <v>0.08304297688017263</v>
      </c>
      <c r="M45" s="40">
        <v>0.08337848555110694</v>
      </c>
      <c r="N45" s="40">
        <v>0.07893577664641852</v>
      </c>
      <c r="O45" s="40">
        <v>0.0765435292029029</v>
      </c>
      <c r="P45" s="40">
        <v>0.08310583357012853</v>
      </c>
      <c r="Q45" s="40">
        <v>0.08245869351400652</v>
      </c>
      <c r="R45" s="40">
        <v>0.08697544025482679</v>
      </c>
      <c r="S45" s="40">
        <v>0.08366951564191744</v>
      </c>
      <c r="T45" s="40">
        <v>0.08099133507870249</v>
      </c>
      <c r="U45" s="40">
        <v>0.08371642684554749</v>
      </c>
      <c r="V45" s="40">
        <v>0.07740055775662169</v>
      </c>
      <c r="W45" s="40">
        <v>0.08022263961923971</v>
      </c>
      <c r="X45" s="31">
        <v>0.07357131879169089</v>
      </c>
      <c r="Y45" s="31">
        <v>0.07702187228300231</v>
      </c>
      <c r="Z45" s="31">
        <v>0.07729487188450025</v>
      </c>
      <c r="AA45" s="31">
        <v>0.07608573910675281</v>
      </c>
      <c r="AB45" s="31">
        <v>0.07241237544501126</v>
      </c>
      <c r="AC45" s="31">
        <v>0.06872481204329742</v>
      </c>
      <c r="AD45" s="31">
        <v>0.0648495798411146</v>
      </c>
      <c r="AE45" s="31">
        <v>0.062021295456716426</v>
      </c>
      <c r="AF45" s="31">
        <v>0.060552973813420626</v>
      </c>
      <c r="AG45" s="31">
        <v>0.058372051661405105</v>
      </c>
      <c r="AH45" s="31">
        <v>0.05632615632249059</v>
      </c>
      <c r="AI45" s="31">
        <v>0.05908884552453309</v>
      </c>
      <c r="AJ45" s="31">
        <v>0.05490935236768039</v>
      </c>
      <c r="AK45" s="31">
        <v>0.053281598866845054</v>
      </c>
      <c r="AL45" s="31">
        <v>0.04777934720364625</v>
      </c>
      <c r="AM45" s="31">
        <v>0.046155054949523454</v>
      </c>
      <c r="AN45" s="31">
        <v>0.04335004004765177</v>
      </c>
      <c r="AO45" s="31">
        <v>0.04154142835956058</v>
      </c>
      <c r="AP45" s="31">
        <v>0.03707468461050222</v>
      </c>
      <c r="AQ45" s="31">
        <v>0.037468631189154986</v>
      </c>
      <c r="AR45" s="31">
        <v>0.03419678718096893</v>
      </c>
      <c r="AS45" s="31">
        <v>0.03303614252171919</v>
      </c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40">J46</f>
        <v>0.004853233872</v>
      </c>
      <c r="G46" s="55">
        <f t="shared" si="40"/>
        <v>0.005162620845</v>
      </c>
      <c r="H46" s="32">
        <f t="shared" si="35"/>
        <v>-0.05992827721</v>
      </c>
      <c r="I46" s="30"/>
      <c r="J46" s="40">
        <v>0.004853233871756291</v>
      </c>
      <c r="K46" s="40">
        <v>0.0051626208449002745</v>
      </c>
      <c r="L46" s="40">
        <v>0.00497424281095236</v>
      </c>
      <c r="M46" s="40">
        <v>0.006536328959396151</v>
      </c>
      <c r="N46" s="40">
        <v>0.004909493802730728</v>
      </c>
      <c r="O46" s="40">
        <v>0.003385884077405895</v>
      </c>
      <c r="P46" s="40">
        <v>0.003264109622581443</v>
      </c>
      <c r="Q46" s="40">
        <v>0.0041477447069124</v>
      </c>
      <c r="R46" s="40">
        <v>0.0045612521852988015</v>
      </c>
      <c r="S46" s="40">
        <v>0.004002380086759045</v>
      </c>
      <c r="T46" s="40">
        <v>0.0031880708609676785</v>
      </c>
      <c r="U46" s="40">
        <v>0.0031208928129587213</v>
      </c>
      <c r="V46" s="40">
        <v>0.002727424649762233</v>
      </c>
      <c r="W46" s="40">
        <v>0.00276974532371576</v>
      </c>
      <c r="X46" s="31">
        <v>0.0032991297595281258</v>
      </c>
      <c r="Y46" s="31">
        <v>0.0030820986719983273</v>
      </c>
      <c r="Z46" s="31">
        <v>0.002380156973451945</v>
      </c>
      <c r="AA46" s="31">
        <v>0.002244784524757732</v>
      </c>
      <c r="AB46" s="31">
        <v>0.0011871984460566011</v>
      </c>
      <c r="AC46" s="31">
        <v>6.165144989926554E-4</v>
      </c>
      <c r="AD46" s="31">
        <v>1.6009818232127614E-4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>
        <v>0.0</v>
      </c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1">J47</f>
        <v>0.0005703864325</v>
      </c>
      <c r="G47" s="55">
        <f t="shared" si="41"/>
        <v>0.0005835569458</v>
      </c>
      <c r="H47" s="32">
        <f t="shared" si="35"/>
        <v>-0.02256937113</v>
      </c>
      <c r="I47" s="30"/>
      <c r="J47" s="40">
        <v>5.703864324840352E-4</v>
      </c>
      <c r="K47" s="40">
        <v>5.83556945767665E-4</v>
      </c>
      <c r="L47" s="40">
        <v>3.6754582801333286E-4</v>
      </c>
      <c r="M47" s="40">
        <v>1.9807938522838417E-4</v>
      </c>
      <c r="N47" s="40">
        <v>8.750022771917353E-5</v>
      </c>
      <c r="O47" s="40">
        <v>3.711645400266973E-5</v>
      </c>
      <c r="P47" s="40">
        <v>7.140253056875254E-6</v>
      </c>
      <c r="Q47" s="40">
        <v>0.0</v>
      </c>
      <c r="R47" s="40">
        <v>0.0</v>
      </c>
      <c r="S47" s="40">
        <v>0.0</v>
      </c>
      <c r="T47" s="40">
        <v>0.0</v>
      </c>
      <c r="U47" s="40">
        <v>0.0</v>
      </c>
      <c r="V47" s="40">
        <v>0.0</v>
      </c>
      <c r="W47" s="40">
        <v>0.0</v>
      </c>
      <c r="X47" s="31">
        <v>0.0</v>
      </c>
      <c r="Y47" s="31">
        <v>0.0</v>
      </c>
      <c r="Z47" s="31">
        <v>0.0</v>
      </c>
      <c r="AA47" s="31">
        <v>0.0</v>
      </c>
      <c r="AB47" s="31">
        <v>0.0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2">J48</f>
        <v>0.01201162376</v>
      </c>
      <c r="G48" s="55">
        <f t="shared" si="42"/>
        <v>0.01212826742</v>
      </c>
      <c r="H48" s="32">
        <f t="shared" si="35"/>
        <v>-0.009617504356</v>
      </c>
      <c r="I48" s="30"/>
      <c r="J48" s="40">
        <v>0.012011623758354333</v>
      </c>
      <c r="K48" s="40">
        <v>0.012128267423126145</v>
      </c>
      <c r="L48" s="40">
        <v>0.006695540193521038</v>
      </c>
      <c r="M48" s="40">
        <v>0.006028660645763644</v>
      </c>
      <c r="N48" s="40">
        <v>0.0038198172008395872</v>
      </c>
      <c r="O48" s="40">
        <v>0.007804730596205914</v>
      </c>
      <c r="P48" s="40">
        <v>0.00435456767522672</v>
      </c>
      <c r="Q48" s="40">
        <v>0.0012690342363774157</v>
      </c>
      <c r="R48" s="40">
        <v>0.0011127693606810358</v>
      </c>
      <c r="S48" s="40">
        <v>0.001733653717339164</v>
      </c>
      <c r="T48" s="40">
        <v>0.002344998216706132</v>
      </c>
      <c r="U48" s="40">
        <v>0.0028178888141360756</v>
      </c>
      <c r="V48" s="40">
        <v>0.0033866323753197897</v>
      </c>
      <c r="W48" s="40">
        <v>0.00416166121260751</v>
      </c>
      <c r="X48" s="31">
        <v>0.0027498849190835182</v>
      </c>
      <c r="Y48" s="31">
        <v>4.027339818218585E-4</v>
      </c>
      <c r="Z48" s="31">
        <v>1.925044728541947E-8</v>
      </c>
      <c r="AA48" s="31">
        <v>2.2562012138044782E-8</v>
      </c>
      <c r="AB48" s="31">
        <v>-1.256610960624898E-16</v>
      </c>
      <c r="AC48" s="31">
        <v>3.839758544299379E-17</v>
      </c>
      <c r="AD48" s="31">
        <v>-7.472738377662922E-17</v>
      </c>
      <c r="AE48" s="31">
        <v>0.0026384441765886055</v>
      </c>
      <c r="AF48" s="31">
        <v>-1.206530519748317E-16</v>
      </c>
      <c r="AG48" s="31">
        <v>2.9852163944967364E-8</v>
      </c>
      <c r="AH48" s="31">
        <v>3.016558611674489E-6</v>
      </c>
      <c r="AI48" s="31">
        <v>8.472191696134267E-4</v>
      </c>
      <c r="AJ48" s="31">
        <v>8.628797469725728E-8</v>
      </c>
      <c r="AK48" s="31">
        <v>4.665285008814845E-17</v>
      </c>
      <c r="AL48" s="31">
        <v>-1.2910250567535475E-16</v>
      </c>
      <c r="AM48" s="31">
        <v>-5.40176362777278E-18</v>
      </c>
      <c r="AN48" s="31">
        <v>6.161814103580179E-17</v>
      </c>
      <c r="AO48" s="31">
        <v>1.415383587485102E-16</v>
      </c>
      <c r="AP48" s="31">
        <v>0.0</v>
      </c>
      <c r="AQ48" s="31">
        <v>5.899233477284475E-18</v>
      </c>
      <c r="AR48" s="31">
        <v>-3.004680323591666E-17</v>
      </c>
      <c r="AS48" s="31">
        <v>-1.7412395533496605E-16</v>
      </c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>
        <f t="shared" ref="F51:G51" si="43">J51</f>
        <v>1</v>
      </c>
      <c r="G51" s="55">
        <f t="shared" si="43"/>
        <v>1</v>
      </c>
      <c r="H51" s="32">
        <f t="shared" ref="H51:H57" si="45">IFERROR(F51/G51-1,"-")</f>
        <v>0</v>
      </c>
      <c r="J51" s="58">
        <v>1.0</v>
      </c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  <c r="AD51" s="59">
        <v>1.0</v>
      </c>
    </row>
    <row r="52">
      <c r="C52" s="60" t="s">
        <v>44</v>
      </c>
      <c r="D52" s="39" t="s">
        <v>10</v>
      </c>
      <c r="F52" s="55">
        <f t="shared" ref="F52:G52" si="44">J52</f>
        <v>0.4089214584</v>
      </c>
      <c r="G52" s="55">
        <f t="shared" si="44"/>
        <v>0.3864667263</v>
      </c>
      <c r="H52" s="32">
        <f t="shared" si="45"/>
        <v>0.05810262713</v>
      </c>
      <c r="J52" s="58">
        <v>0.408921458398262</v>
      </c>
      <c r="K52" s="58">
        <v>0.386466726303243</v>
      </c>
      <c r="L52" s="58">
        <v>0.406121881720848</v>
      </c>
      <c r="M52" s="58">
        <v>0.404084211704248</v>
      </c>
      <c r="N52" s="58">
        <v>0.424023209056289</v>
      </c>
      <c r="O52" s="58">
        <v>0.407828695583707</v>
      </c>
      <c r="P52" s="58">
        <v>0.417566071619866</v>
      </c>
      <c r="Q52" s="58">
        <v>0.411331597480614</v>
      </c>
      <c r="R52" s="58">
        <v>0.37169570468261</v>
      </c>
      <c r="S52" s="58">
        <v>0.374926726140923</v>
      </c>
      <c r="T52" s="58">
        <v>0.367031282923399</v>
      </c>
      <c r="U52" s="58">
        <v>0.350188835078837</v>
      </c>
      <c r="V52" s="58">
        <v>0.38036063493811</v>
      </c>
      <c r="W52" s="58">
        <v>0.37317237451496</v>
      </c>
      <c r="X52" s="31">
        <v>0.409386289111258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  <c r="AD52" s="59">
        <v>0.0</v>
      </c>
    </row>
    <row r="53">
      <c r="C53" s="60" t="s">
        <v>45</v>
      </c>
      <c r="D53" s="39" t="s">
        <v>10</v>
      </c>
      <c r="F53" s="55">
        <f t="shared" ref="F53:G53" si="46">J53</f>
        <v>0.00145964838</v>
      </c>
      <c r="G53" s="55">
        <f t="shared" si="46"/>
        <v>0.001555016334</v>
      </c>
      <c r="H53" s="32">
        <f t="shared" si="45"/>
        <v>-0.06132922954</v>
      </c>
      <c r="J53" s="58">
        <v>0.00145964838024919</v>
      </c>
      <c r="K53" s="58">
        <v>0.0015550163339323</v>
      </c>
      <c r="L53" s="58">
        <v>0.00215021449866438</v>
      </c>
      <c r="M53" s="58">
        <v>0.00221250946653184</v>
      </c>
      <c r="N53" s="58">
        <v>0.00303701801005636</v>
      </c>
      <c r="O53" s="58">
        <v>0.00277340487057559</v>
      </c>
      <c r="P53" s="58">
        <v>0.00265193182087254</v>
      </c>
      <c r="Q53" s="58">
        <v>0.00288992248954168</v>
      </c>
      <c r="R53" s="58">
        <v>0.00291958950723693</v>
      </c>
      <c r="S53" s="58">
        <v>0.00195993272961147</v>
      </c>
      <c r="T53" s="58">
        <v>0.00236048502933017</v>
      </c>
      <c r="U53" s="58">
        <v>0.0030255616675407</v>
      </c>
      <c r="V53" s="58">
        <v>0.00264264144973844</v>
      </c>
      <c r="W53" s="58">
        <v>0.00211715474502706</v>
      </c>
      <c r="X53" s="31">
        <v>0.00215948361181062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  <c r="AD53" s="59">
        <v>0.0</v>
      </c>
    </row>
    <row r="54">
      <c r="C54" s="60" t="s">
        <v>46</v>
      </c>
      <c r="D54" s="39" t="s">
        <v>10</v>
      </c>
      <c r="F54" s="55">
        <f t="shared" ref="F54:G54" si="47">J54</f>
        <v>0.006935118929</v>
      </c>
      <c r="G54" s="55">
        <f t="shared" si="47"/>
        <v>0.006138419117</v>
      </c>
      <c r="H54" s="32">
        <f t="shared" si="45"/>
        <v>0.1297890868</v>
      </c>
      <c r="J54" s="58">
        <v>0.00693511892862682</v>
      </c>
      <c r="K54" s="58">
        <v>0.00613841911724016</v>
      </c>
      <c r="L54" s="58">
        <v>0.00722137942707055</v>
      </c>
      <c r="M54" s="58">
        <v>0.00572325980097885</v>
      </c>
      <c r="N54" s="58">
        <v>0.00679817702177864</v>
      </c>
      <c r="O54" s="58">
        <v>0.0082745992821533</v>
      </c>
      <c r="P54" s="58">
        <v>0.00792737363356453</v>
      </c>
      <c r="Q54" s="58">
        <v>0.00887054478594832</v>
      </c>
      <c r="R54" s="58">
        <v>0.00889531592234531</v>
      </c>
      <c r="S54" s="58">
        <v>0.00863283122499614</v>
      </c>
      <c r="T54" s="58">
        <v>0.00924387574082607</v>
      </c>
      <c r="U54" s="58">
        <v>0.0107426553017338</v>
      </c>
      <c r="V54" s="58">
        <v>0.0103290896873863</v>
      </c>
      <c r="W54" s="58">
        <v>0.00963462661696312</v>
      </c>
      <c r="X54" s="31">
        <v>0.0287187829790233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  <c r="AD54" s="59">
        <v>0.0</v>
      </c>
    </row>
    <row r="55">
      <c r="C55" s="60" t="s">
        <v>47</v>
      </c>
      <c r="D55" s="39" t="s">
        <v>10</v>
      </c>
      <c r="F55" s="55">
        <f t="shared" ref="F55:G55" si="48">J55</f>
        <v>0.2222296929</v>
      </c>
      <c r="G55" s="55">
        <f t="shared" si="48"/>
        <v>0.1998223959</v>
      </c>
      <c r="H55" s="32">
        <f t="shared" si="45"/>
        <v>0.1121360642</v>
      </c>
      <c r="J55" s="58">
        <v>0.222229692908796</v>
      </c>
      <c r="K55" s="58">
        <v>0.199822395898545</v>
      </c>
      <c r="L55" s="58">
        <v>0.203439844672503</v>
      </c>
      <c r="M55" s="58">
        <v>0.204231317050561</v>
      </c>
      <c r="N55" s="58">
        <v>0.216382435645658</v>
      </c>
      <c r="O55" s="58">
        <v>0.209134029428113</v>
      </c>
      <c r="P55" s="58">
        <v>0.200512125038861</v>
      </c>
      <c r="Q55" s="58">
        <v>0.205795243964585</v>
      </c>
      <c r="R55" s="58">
        <v>0.205704493972821</v>
      </c>
      <c r="S55" s="58">
        <v>0.19435275902264</v>
      </c>
      <c r="T55" s="58">
        <v>0.186897360791619</v>
      </c>
      <c r="U55" s="58">
        <v>0.195340328409403</v>
      </c>
      <c r="V55" s="58">
        <v>0.188299423918426</v>
      </c>
      <c r="W55" s="58">
        <v>0.173049399168775</v>
      </c>
      <c r="X55" s="31">
        <v>0.167801134465002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  <c r="AD55" s="59">
        <v>0.0</v>
      </c>
    </row>
    <row r="56">
      <c r="C56" s="60" t="s">
        <v>48</v>
      </c>
      <c r="D56" s="39" t="s">
        <v>10</v>
      </c>
      <c r="F56" s="55">
        <f t="shared" ref="F56:G56" si="49">J56</f>
        <v>0.1782969982</v>
      </c>
      <c r="G56" s="55">
        <f t="shared" si="49"/>
        <v>0.178950895</v>
      </c>
      <c r="H56" s="32">
        <f t="shared" si="45"/>
        <v>-0.003654057014</v>
      </c>
      <c r="J56" s="58">
        <v>0.178296998180589</v>
      </c>
      <c r="K56" s="58">
        <v>0.178950894953526</v>
      </c>
      <c r="L56" s="58">
        <v>0.193310443122609</v>
      </c>
      <c r="M56" s="58">
        <v>0.191917125386176</v>
      </c>
      <c r="N56" s="58">
        <v>0.197805578378795</v>
      </c>
      <c r="O56" s="58">
        <v>0.187646662002864</v>
      </c>
      <c r="P56" s="58">
        <v>0.206474641126567</v>
      </c>
      <c r="Q56" s="58">
        <v>0.193775886240538</v>
      </c>
      <c r="R56" s="58">
        <v>0.154176305280207</v>
      </c>
      <c r="S56" s="58">
        <v>0.169981203163675</v>
      </c>
      <c r="T56" s="58">
        <v>0.168529561361623</v>
      </c>
      <c r="U56" s="58">
        <v>0.141080289700158</v>
      </c>
      <c r="V56" s="58">
        <v>0.179089479882559</v>
      </c>
      <c r="W56" s="58">
        <v>0.188371193984194</v>
      </c>
      <c r="X56" s="31">
        <v>0.210706888055422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  <c r="AD56" s="59">
        <v>0.0</v>
      </c>
    </row>
    <row r="57">
      <c r="C57" s="60" t="s">
        <v>49</v>
      </c>
      <c r="D57" s="39" t="s">
        <v>10</v>
      </c>
      <c r="F57" s="55">
        <f t="shared" ref="F57:G57" si="50">J57</f>
        <v>0.5910785416</v>
      </c>
      <c r="G57" s="55">
        <f t="shared" si="50"/>
        <v>0.6135332737</v>
      </c>
      <c r="H57" s="32">
        <f t="shared" si="45"/>
        <v>-0.03659904533</v>
      </c>
      <c r="J57" s="58">
        <v>0.591078541601737</v>
      </c>
      <c r="K57" s="58">
        <v>0.613533273696756</v>
      </c>
      <c r="L57" s="58">
        <v>0.593878118279151</v>
      </c>
      <c r="M57" s="58">
        <v>0.595915788295751</v>
      </c>
      <c r="N57" s="58">
        <v>0.57597679094371</v>
      </c>
      <c r="O57" s="58">
        <v>0.592171304416293</v>
      </c>
      <c r="P57" s="58">
        <v>0.582433928380133</v>
      </c>
      <c r="Q57" s="58">
        <v>0.588668402519385</v>
      </c>
      <c r="R57" s="58">
        <v>0.628304295317389</v>
      </c>
      <c r="S57" s="58">
        <v>0.625073273859076</v>
      </c>
      <c r="T57" s="58">
        <v>0.6329687170766</v>
      </c>
      <c r="U57" s="58">
        <v>0.649811164921162</v>
      </c>
      <c r="V57" s="58">
        <v>0.619639365061889</v>
      </c>
      <c r="W57" s="58">
        <v>0.62682762548504</v>
      </c>
      <c r="X57" s="31">
        <v>0.590613710888741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  <c r="AD57" s="59">
        <v>1.0</v>
      </c>
    </row>
    <row r="58">
      <c r="D58" s="3"/>
      <c r="F58" s="4"/>
      <c r="G58" s="4"/>
      <c r="H58" s="5"/>
    </row>
    <row r="59">
      <c r="D59" s="3"/>
      <c r="F59" s="4"/>
      <c r="G59" s="4"/>
      <c r="H59" s="5"/>
    </row>
    <row r="60">
      <c r="C60" s="28" t="s">
        <v>37</v>
      </c>
      <c r="D60" s="79"/>
      <c r="E60" s="80"/>
      <c r="F60" s="81">
        <f t="shared" ref="F60:G60" si="51">F3</f>
        <v>45992</v>
      </c>
      <c r="G60" s="81">
        <f t="shared" si="51"/>
        <v>45962</v>
      </c>
      <c r="H60" s="82" t="s">
        <v>58</v>
      </c>
      <c r="K60" s="83">
        <v>45474.0</v>
      </c>
      <c r="L60" s="84">
        <v>45444.0</v>
      </c>
      <c r="M60" s="82" t="s">
        <v>58</v>
      </c>
    </row>
    <row r="61">
      <c r="C61" s="38" t="s">
        <v>59</v>
      </c>
      <c r="D61" s="85"/>
      <c r="E61" s="86"/>
      <c r="F61" s="87">
        <f t="shared" ref="F61:G61" si="52">F$14*F52</f>
        <v>176267.2133</v>
      </c>
      <c r="G61" s="87">
        <f t="shared" si="52"/>
        <v>193997.9172</v>
      </c>
      <c r="H61" s="88">
        <f t="shared" ref="H61:H66" si="55">F61/G61-1</f>
        <v>-0.09139636226</v>
      </c>
      <c r="K61" s="87">
        <f t="shared" ref="K61:L61" si="53">K$14*K52</f>
        <v>193997.9172</v>
      </c>
      <c r="L61" s="87">
        <f t="shared" si="53"/>
        <v>174205.5334</v>
      </c>
      <c r="M61" s="88">
        <f t="shared" ref="M61:M66" si="57">K61/L61-1</f>
        <v>0.1136151268</v>
      </c>
    </row>
    <row r="62">
      <c r="C62" s="38" t="s">
        <v>60</v>
      </c>
      <c r="D62" s="85"/>
      <c r="E62" s="86"/>
      <c r="F62" s="87">
        <f t="shared" ref="F62:G62" si="54">F$14*F53</f>
        <v>629.1872121</v>
      </c>
      <c r="G62" s="87">
        <f t="shared" si="54"/>
        <v>780.5844837</v>
      </c>
      <c r="H62" s="88">
        <f t="shared" si="55"/>
        <v>-0.1939537292</v>
      </c>
      <c r="K62" s="87">
        <f t="shared" ref="K62:L62" si="56">K$14*K53</f>
        <v>780.5844837</v>
      </c>
      <c r="L62" s="87">
        <f t="shared" si="56"/>
        <v>922.3321388</v>
      </c>
      <c r="M62" s="88">
        <f t="shared" si="57"/>
        <v>-0.1536839595</v>
      </c>
    </row>
    <row r="63">
      <c r="C63" s="38" t="s">
        <v>61</v>
      </c>
      <c r="D63" s="85"/>
      <c r="E63" s="86"/>
      <c r="F63" s="87">
        <f t="shared" ref="F63:G63" si="58">F$14*F54</f>
        <v>2989.410466</v>
      </c>
      <c r="G63" s="87">
        <f t="shared" si="58"/>
        <v>3081.353304</v>
      </c>
      <c r="H63" s="88">
        <f t="shared" si="55"/>
        <v>-0.0298384601</v>
      </c>
      <c r="K63" s="87">
        <f t="shared" ref="K63:L63" si="59">K$14*K54</f>
        <v>3081.353304</v>
      </c>
      <c r="L63" s="87">
        <f t="shared" si="59"/>
        <v>3097.602744</v>
      </c>
      <c r="M63" s="88">
        <f t="shared" si="57"/>
        <v>-0.005245811711</v>
      </c>
    </row>
    <row r="64">
      <c r="C64" s="38" t="s">
        <v>62</v>
      </c>
      <c r="D64" s="85"/>
      <c r="E64" s="86"/>
      <c r="F64" s="87">
        <f t="shared" ref="F64:G64" si="60">F$14*F55</f>
        <v>95792.9888</v>
      </c>
      <c r="G64" s="87">
        <f t="shared" si="60"/>
        <v>100306.5102</v>
      </c>
      <c r="H64" s="88">
        <f t="shared" si="55"/>
        <v>-0.04499729264</v>
      </c>
      <c r="K64" s="87">
        <f t="shared" ref="K64:L64" si="61">K$14*K55</f>
        <v>100306.5102</v>
      </c>
      <c r="L64" s="87">
        <f t="shared" si="61"/>
        <v>87265.2971</v>
      </c>
      <c r="M64" s="88">
        <f t="shared" si="57"/>
        <v>0.1494432899</v>
      </c>
    </row>
    <row r="65">
      <c r="C65" s="38" t="s">
        <v>63</v>
      </c>
      <c r="D65" s="85"/>
      <c r="E65" s="86"/>
      <c r="F65" s="87">
        <f t="shared" ref="F65:G65" si="62">F$14*F56</f>
        <v>76855.62683</v>
      </c>
      <c r="G65" s="87">
        <f t="shared" si="62"/>
        <v>89829.46925</v>
      </c>
      <c r="H65" s="88">
        <f t="shared" si="55"/>
        <v>-0.1444274638</v>
      </c>
      <c r="K65" s="87">
        <f t="shared" ref="K65:L65" si="63">K$14*K56</f>
        <v>89829.46925</v>
      </c>
      <c r="L65" s="87">
        <f t="shared" si="63"/>
        <v>82920.30147</v>
      </c>
      <c r="M65" s="88">
        <f t="shared" si="57"/>
        <v>0.08332299399</v>
      </c>
    </row>
    <row r="66">
      <c r="C66" s="38" t="s">
        <v>64</v>
      </c>
      <c r="D66" s="85"/>
      <c r="E66" s="86"/>
      <c r="F66" s="87">
        <f t="shared" ref="F66:G66" si="64">F$14*F57</f>
        <v>254786.7451</v>
      </c>
      <c r="G66" s="87">
        <f t="shared" si="64"/>
        <v>307980.4008</v>
      </c>
      <c r="H66" s="88">
        <f t="shared" si="55"/>
        <v>-0.172717665</v>
      </c>
      <c r="K66" s="87">
        <f t="shared" ref="K66:L66" si="65">K$14*K57</f>
        <v>307980.4008</v>
      </c>
      <c r="L66" s="87">
        <f t="shared" si="65"/>
        <v>254743.3641</v>
      </c>
      <c r="M66" s="88">
        <f t="shared" si="57"/>
        <v>0.2089830163</v>
      </c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3"/>
    </customSheetView>
  </customSheetViews>
  <mergeCells count="1">
    <mergeCell ref="C1:C2"/>
  </mergeCells>
  <conditionalFormatting sqref="H6 H8:H12 H14:H16 H18:H19 H21:H22 H2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68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</row>
    <row r="3" ht="44.25" customHeight="1">
      <c r="C3" s="2" t="s">
        <v>2</v>
      </c>
      <c r="D3" s="3"/>
      <c r="E3" s="10"/>
      <c r="F3" s="11">
        <f t="shared" ref="F3:G3" si="1">J3</f>
        <v>45992</v>
      </c>
      <c r="G3" s="11">
        <f t="shared" si="1"/>
        <v>45962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2">J6</f>
        <v>6658683.222</v>
      </c>
      <c r="G6" s="31">
        <f t="shared" si="2"/>
        <v>6793798.933</v>
      </c>
      <c r="H6" s="32">
        <f>IFERROR(F6/G6-1,"-")</f>
        <v>-0.0198880939</v>
      </c>
      <c r="I6" s="30"/>
      <c r="J6" s="31">
        <v>6658683.222222222</v>
      </c>
      <c r="K6" s="31">
        <v>6793798.933333334</v>
      </c>
      <c r="L6" s="31">
        <v>6590179.70967742</v>
      </c>
      <c r="M6" s="31">
        <v>6389851.8</v>
      </c>
      <c r="N6" s="31">
        <v>6464873.29032258</v>
      </c>
      <c r="O6" s="31">
        <v>6284833.29032258</v>
      </c>
      <c r="P6" s="31">
        <v>6439060.066666666</v>
      </c>
      <c r="Q6" s="31">
        <v>6406379.935483871</v>
      </c>
      <c r="R6" s="31">
        <v>6400067.066666666</v>
      </c>
      <c r="S6" s="31">
        <v>6413207.838709678</v>
      </c>
      <c r="T6" s="31">
        <v>6433061.678571428</v>
      </c>
      <c r="U6" s="31">
        <v>6112085.451612903</v>
      </c>
      <c r="V6" s="31">
        <v>6293843.580645162</v>
      </c>
      <c r="W6" s="31">
        <v>6309385.3</v>
      </c>
      <c r="X6" s="31">
        <v>6160748.354838709</v>
      </c>
      <c r="Y6" s="31">
        <v>6093155.266666667</v>
      </c>
      <c r="Z6" s="31">
        <v>5997989.064516129</v>
      </c>
      <c r="AA6" s="31">
        <v>5937753.161290322</v>
      </c>
      <c r="AB6" s="31">
        <v>5906407.4</v>
      </c>
      <c r="AC6" s="31">
        <v>5869277.741935484</v>
      </c>
      <c r="AD6" s="31">
        <v>5831351.633333334</v>
      </c>
      <c r="AE6" s="31">
        <v>5911489.387096774</v>
      </c>
      <c r="AF6" s="31">
        <v>5704013.448275862</v>
      </c>
      <c r="AG6" s="31">
        <v>5952190.161290322</v>
      </c>
      <c r="AH6" s="31">
        <v>5891725.354838709</v>
      </c>
      <c r="AI6" s="31">
        <v>5990879.833333333</v>
      </c>
      <c r="AJ6" s="31">
        <v>5760880.354838709</v>
      </c>
      <c r="AK6" s="31">
        <v>5709866.566666666</v>
      </c>
      <c r="AL6" s="31">
        <v>5640669.677419355</v>
      </c>
      <c r="AM6" s="31">
        <v>5583485.419354838</v>
      </c>
      <c r="AN6" s="31">
        <v>5592676.666666667</v>
      </c>
      <c r="AO6" s="31">
        <v>5853219.322580645</v>
      </c>
      <c r="AP6" s="31">
        <v>5878764.666666667</v>
      </c>
      <c r="AQ6" s="31">
        <v>5983325.129032258</v>
      </c>
      <c r="AR6" s="31">
        <v>5936494.964285715</v>
      </c>
      <c r="AS6" s="31">
        <v>5651671.903225807</v>
      </c>
      <c r="AT6" s="31">
        <v>5927583.516129033</v>
      </c>
      <c r="AU6" s="31">
        <v>5923942.966666667</v>
      </c>
      <c r="AV6" s="31">
        <v>5519464.29032258</v>
      </c>
      <c r="AW6" s="31">
        <v>5393597.666666667</v>
      </c>
      <c r="AX6" s="31">
        <v>5228419.548387097</v>
      </c>
      <c r="AY6" s="33">
        <v>5177080.838709678</v>
      </c>
      <c r="AZ6" s="33">
        <v>5223593.233333333</v>
      </c>
      <c r="BA6" s="33">
        <v>5140770.483870967</v>
      </c>
      <c r="BB6" s="33">
        <v>5134801.9</v>
      </c>
      <c r="BC6" s="33">
        <v>5152367.935483871</v>
      </c>
      <c r="BD6" s="33">
        <v>5022763.75</v>
      </c>
      <c r="BE6" s="33">
        <v>4943822.645161291</v>
      </c>
    </row>
    <row r="7">
      <c r="D7" s="3"/>
      <c r="F7" s="4"/>
      <c r="G7" s="4"/>
      <c r="H7" s="5"/>
      <c r="L7" s="35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3">J8</f>
        <v>932454</v>
      </c>
      <c r="G8" s="31">
        <f t="shared" si="3"/>
        <v>964629.7333</v>
      </c>
      <c r="H8" s="32">
        <f t="shared" ref="H8:H12" si="5">IFERROR(F8/G8-1,"-")</f>
        <v>-0.03335552723</v>
      </c>
      <c r="I8" s="30"/>
      <c r="J8" s="31">
        <v>932454.0</v>
      </c>
      <c r="K8" s="31">
        <v>964629.7333333333</v>
      </c>
      <c r="L8" s="31">
        <v>879772.6774193548</v>
      </c>
      <c r="M8" s="31">
        <v>896145.4</v>
      </c>
      <c r="N8" s="31">
        <v>881026.5161290322</v>
      </c>
      <c r="O8" s="31">
        <v>858563.7419354839</v>
      </c>
      <c r="P8" s="31">
        <v>889893.2333333333</v>
      </c>
      <c r="Q8" s="31">
        <v>869025.7741935484</v>
      </c>
      <c r="R8" s="31">
        <v>857555.2</v>
      </c>
      <c r="S8" s="31">
        <v>872371.3548387097</v>
      </c>
      <c r="T8" s="31">
        <v>890410.7142857143</v>
      </c>
      <c r="U8" s="31">
        <v>801252.4193548387</v>
      </c>
      <c r="V8" s="31">
        <v>891119.8064516129</v>
      </c>
      <c r="W8" s="31">
        <v>882901.9666666667</v>
      </c>
      <c r="X8" s="31">
        <v>846277.4193548387</v>
      </c>
      <c r="Y8" s="31">
        <v>839076.2333333333</v>
      </c>
      <c r="Z8" s="31">
        <v>825482.2580645161</v>
      </c>
      <c r="AA8" s="31">
        <v>810074.9677419355</v>
      </c>
      <c r="AB8" s="31">
        <v>803577.6</v>
      </c>
      <c r="AC8" s="31">
        <v>791693.9677419355</v>
      </c>
      <c r="AD8" s="31">
        <v>770728.2666666667</v>
      </c>
      <c r="AE8" s="31">
        <v>794162.9677419355</v>
      </c>
      <c r="AF8" s="31">
        <v>719809.0</v>
      </c>
      <c r="AG8" s="31">
        <v>797319.6451612903</v>
      </c>
      <c r="AH8" s="31">
        <v>768696.6129032258</v>
      </c>
      <c r="AI8" s="31">
        <v>798670.4333333333</v>
      </c>
      <c r="AJ8" s="36">
        <v>742594.8064516129</v>
      </c>
      <c r="AK8" s="36">
        <v>735881.9333333333</v>
      </c>
      <c r="AL8" s="36">
        <v>739099.8709677419</v>
      </c>
      <c r="AM8" s="36">
        <v>720183.8387096775</v>
      </c>
      <c r="AN8" s="36">
        <v>711410.8</v>
      </c>
      <c r="AO8" s="36">
        <v>738001.0</v>
      </c>
      <c r="AP8" s="36">
        <v>747069.7666666667</v>
      </c>
      <c r="AQ8" s="36">
        <v>760850.2580645161</v>
      </c>
      <c r="AR8" s="36">
        <v>778254.4642857143</v>
      </c>
      <c r="AS8" s="36">
        <v>677706.1935483871</v>
      </c>
      <c r="AT8" s="36">
        <v>785383.8709677419</v>
      </c>
      <c r="AU8" s="36">
        <v>778435.7</v>
      </c>
      <c r="AV8" s="36">
        <v>729528.5161290322</v>
      </c>
      <c r="AW8" s="36">
        <v>717165.7333333333</v>
      </c>
      <c r="AX8" s="36">
        <v>712083.3225806452</v>
      </c>
      <c r="AY8" s="37">
        <v>685112.3225806452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4">J9</f>
        <v>0.1400357952</v>
      </c>
      <c r="G9" s="40">
        <f t="shared" si="4"/>
        <v>0.1419867945</v>
      </c>
      <c r="H9" s="32">
        <f t="shared" si="5"/>
        <v>-0.01374070986</v>
      </c>
      <c r="I9" s="30"/>
      <c r="J9" s="40">
        <v>0.14003579519868034</v>
      </c>
      <c r="K9" s="40">
        <v>0.14198679454589686</v>
      </c>
      <c r="L9" s="40">
        <v>0.13349752452538483</v>
      </c>
      <c r="M9" s="40">
        <v>0.14024509926818648</v>
      </c>
      <c r="N9" s="40">
        <v>0.13627900757898245</v>
      </c>
      <c r="O9" s="40">
        <v>0.1366088330867113</v>
      </c>
      <c r="P9" s="40">
        <v>0.13820235005107007</v>
      </c>
      <c r="Q9" s="40">
        <v>0.1356500524391567</v>
      </c>
      <c r="R9" s="40">
        <v>0.13399159587973483</v>
      </c>
      <c r="S9" s="40">
        <v>0.136027301278642</v>
      </c>
      <c r="T9" s="40">
        <v>0.13841165509910755</v>
      </c>
      <c r="U9" s="40">
        <v>0.13109313109217055</v>
      </c>
      <c r="V9" s="40">
        <v>0.14158594744743672</v>
      </c>
      <c r="W9" s="40">
        <v>0.139934704362827</v>
      </c>
      <c r="X9" s="40">
        <v>0.13736600987608338</v>
      </c>
      <c r="Y9" s="40">
        <v>0.13770800129181018</v>
      </c>
      <c r="Z9" s="40">
        <v>0.13762650268037951</v>
      </c>
      <c r="AA9" s="40">
        <v>0.13642786180857333</v>
      </c>
      <c r="AB9" s="40">
        <v>0.13605184092109865</v>
      </c>
      <c r="AC9" s="40">
        <v>0.13488780094445868</v>
      </c>
      <c r="AD9" s="40">
        <v>0.1321697464205397</v>
      </c>
      <c r="AE9" s="40">
        <v>0.13434228089377684</v>
      </c>
      <c r="AF9" s="40">
        <v>0.12619342617741808</v>
      </c>
      <c r="AG9" s="40">
        <v>0.1339539940015032</v>
      </c>
      <c r="AH9" s="40">
        <v>0.13047054412879527</v>
      </c>
      <c r="AI9" s="40">
        <v>0.13331438045035066</v>
      </c>
      <c r="AJ9" s="36">
        <v>0.1289030079973608</v>
      </c>
      <c r="AK9" s="36">
        <v>0.12887900702081206</v>
      </c>
      <c r="AL9" s="36">
        <v>0.13103051822490078</v>
      </c>
      <c r="AM9" s="36">
        <v>0.1289846367670632</v>
      </c>
      <c r="AN9" s="36">
        <v>0.1272039923638234</v>
      </c>
      <c r="AO9" s="36">
        <v>0.12608463126487124</v>
      </c>
      <c r="AP9" s="36">
        <v>0.12707937960208648</v>
      </c>
      <c r="AQ9" s="36">
        <v>0.1271617773823994</v>
      </c>
      <c r="AR9" s="36">
        <v>0.13109662670780262</v>
      </c>
      <c r="AS9" s="36">
        <v>0.11991251529685801</v>
      </c>
      <c r="AT9" s="36">
        <v>0.13249646653323435</v>
      </c>
      <c r="AU9" s="36">
        <v>0.1314049956895545</v>
      </c>
      <c r="AV9" s="36">
        <v>0.13217379038181903</v>
      </c>
      <c r="AW9" s="36">
        <v>0.1329661160611844</v>
      </c>
      <c r="AX9" s="36">
        <v>0.13619475560263983</v>
      </c>
      <c r="AY9" s="37">
        <v>0.13233564317906243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6">J10</f>
        <v>1417747.778</v>
      </c>
      <c r="G10" s="31">
        <f t="shared" si="6"/>
        <v>1569164.067</v>
      </c>
      <c r="H10" s="32">
        <f t="shared" si="5"/>
        <v>-0.09649487399</v>
      </c>
      <c r="I10" s="30"/>
      <c r="J10" s="31">
        <v>1417747.777777765</v>
      </c>
      <c r="K10" s="31">
        <v>1569164.066666664</v>
      </c>
      <c r="L10" s="31">
        <v>1341743.7419354767</v>
      </c>
      <c r="M10" s="31">
        <v>1371168.6999999934</v>
      </c>
      <c r="N10" s="31">
        <v>1339259.774193543</v>
      </c>
      <c r="O10" s="31">
        <v>1301788.2580645124</v>
      </c>
      <c r="P10" s="31">
        <v>1375714.2666666647</v>
      </c>
      <c r="Q10" s="31">
        <v>1311189.1612903187</v>
      </c>
      <c r="R10" s="31">
        <v>1305443.3666666641</v>
      </c>
      <c r="S10" s="31">
        <v>1321823.451612902</v>
      </c>
      <c r="T10" s="31">
        <v>1356160.7142857122</v>
      </c>
      <c r="U10" s="31">
        <v>1228486.129032256</v>
      </c>
      <c r="V10" s="31">
        <v>1381301.6451612886</v>
      </c>
      <c r="W10" s="31">
        <v>1426633.799999995</v>
      </c>
      <c r="X10" s="31">
        <v>1298734.2580645161</v>
      </c>
      <c r="Y10" s="31">
        <v>1278539.6000000006</v>
      </c>
      <c r="Z10" s="31">
        <v>1253599.6129032243</v>
      </c>
      <c r="AA10" s="31">
        <v>1232846.9354838708</v>
      </c>
      <c r="AB10" s="31">
        <v>1238708.8333333347</v>
      </c>
      <c r="AC10" s="31">
        <v>1198359.5483870965</v>
      </c>
      <c r="AD10" s="31">
        <v>1158230.6666666644</v>
      </c>
      <c r="AE10" s="31">
        <v>1198759.677419354</v>
      </c>
      <c r="AF10" s="31">
        <v>1093411.517241378</v>
      </c>
      <c r="AG10" s="31">
        <v>1222368.6129032224</v>
      </c>
      <c r="AH10" s="31">
        <v>1193594.2258064474</v>
      </c>
      <c r="AI10" s="31">
        <v>1311182.700000001</v>
      </c>
      <c r="AJ10" s="36">
        <v>1133520.6774193575</v>
      </c>
      <c r="AK10" s="36">
        <v>1122802.3000000017</v>
      </c>
      <c r="AL10" s="36">
        <v>1102594.4193548406</v>
      </c>
      <c r="AM10" s="36">
        <v>1060682.2580645122</v>
      </c>
      <c r="AN10" s="36">
        <v>1093823.4666666768</v>
      </c>
      <c r="AO10" s="36">
        <v>1097124.1612903196</v>
      </c>
      <c r="AP10" s="36">
        <v>1116340.1666666644</v>
      </c>
      <c r="AQ10" s="36">
        <v>1134127.870967738</v>
      </c>
      <c r="AR10" s="36">
        <v>1159237.2857142822</v>
      </c>
      <c r="AS10" s="36">
        <v>1017288.2580645141</v>
      </c>
      <c r="AT10" s="36">
        <v>1222978.9677419357</v>
      </c>
      <c r="AU10" s="36">
        <v>1268681.4333333399</v>
      </c>
      <c r="AV10" s="36">
        <v>1116317.4838709664</v>
      </c>
      <c r="AW10" s="36">
        <v>1111377.266666668</v>
      </c>
      <c r="AX10" s="36">
        <v>1082926.9677419357</v>
      </c>
      <c r="AY10" s="37">
        <v>1036325.290322581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7">J11</f>
        <v>0.2129171385</v>
      </c>
      <c r="G11" s="41">
        <f t="shared" si="7"/>
        <v>0.2309700481</v>
      </c>
      <c r="H11" s="32">
        <f t="shared" si="5"/>
        <v>-0.07816125855</v>
      </c>
      <c r="I11" s="30"/>
      <c r="J11" s="41">
        <v>0.21291713848862384</v>
      </c>
      <c r="K11" s="41">
        <v>0.23097004813723032</v>
      </c>
      <c r="L11" s="41">
        <v>0.20359744362739893</v>
      </c>
      <c r="M11" s="41">
        <v>0.21458536800493455</v>
      </c>
      <c r="N11" s="41">
        <v>0.20715947769592208</v>
      </c>
      <c r="O11" s="41">
        <v>0.20713170865948233</v>
      </c>
      <c r="P11" s="41">
        <v>0.21365141067535284</v>
      </c>
      <c r="Q11" s="41">
        <v>0.20466927882747954</v>
      </c>
      <c r="R11" s="41">
        <v>0.20397338857053188</v>
      </c>
      <c r="S11" s="41">
        <v>0.2061095609024968</v>
      </c>
      <c r="T11" s="41">
        <v>0.21081108530376644</v>
      </c>
      <c r="U11" s="41">
        <v>0.2009929571105839</v>
      </c>
      <c r="V11" s="41">
        <v>0.2194686962683772</v>
      </c>
      <c r="W11" s="41">
        <v>0.22611296222470278</v>
      </c>
      <c r="X11" s="41">
        <v>0.2108078732098314</v>
      </c>
      <c r="Y11" s="41">
        <v>0.2098321057062839</v>
      </c>
      <c r="Z11" s="41">
        <v>0.20900331751511037</v>
      </c>
      <c r="AA11" s="41">
        <v>0.20762852580688332</v>
      </c>
      <c r="AB11" s="41">
        <v>0.20972289065825947</v>
      </c>
      <c r="AC11" s="41">
        <v>0.20417496003382507</v>
      </c>
      <c r="AD11" s="41">
        <v>0.1986213042008913</v>
      </c>
      <c r="AE11" s="41">
        <v>0.20278471277237356</v>
      </c>
      <c r="AF11" s="41">
        <v>0.19169160927765358</v>
      </c>
      <c r="AG11" s="41">
        <v>0.2053645094964903</v>
      </c>
      <c r="AH11" s="41">
        <v>0.2025882324650761</v>
      </c>
      <c r="AI11" s="41">
        <v>0.2188631280341434</v>
      </c>
      <c r="AJ11" s="31">
        <v>0.19676171133588718</v>
      </c>
      <c r="AK11" s="31">
        <v>0.19664247612277858</v>
      </c>
      <c r="AL11" s="31">
        <v>0.1954722546098968</v>
      </c>
      <c r="AM11" s="31">
        <v>0.189967767156285</v>
      </c>
      <c r="AN11" s="31">
        <v>0.19558138827979388</v>
      </c>
      <c r="AO11" s="31">
        <v>0.18743944158350878</v>
      </c>
      <c r="AP11" s="31">
        <v>0.18989366473477892</v>
      </c>
      <c r="AQ11" s="31">
        <v>0.1895480934948243</v>
      </c>
      <c r="AR11" s="31">
        <v>0.195273017611961</v>
      </c>
      <c r="AS11" s="31">
        <v>0.17999775561703718</v>
      </c>
      <c r="AT11" s="31">
        <v>0.20631998932013254</v>
      </c>
      <c r="AU11" s="31">
        <v>0.21416165558515024</v>
      </c>
      <c r="AV11" s="31">
        <v>0.20225105647086705</v>
      </c>
      <c r="AW11" s="31">
        <v>0.20605490719768826</v>
      </c>
      <c r="AX11" s="31">
        <v>0.20712319616278793</v>
      </c>
      <c r="AY11" s="33">
        <v>0.2001756052510998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8">J12</f>
        <v>31225823.19</v>
      </c>
      <c r="G12" s="31">
        <f t="shared" si="8"/>
        <v>39535953.82</v>
      </c>
      <c r="H12" s="32">
        <f t="shared" si="5"/>
        <v>-0.2101917326</v>
      </c>
      <c r="I12" s="30"/>
      <c r="J12" s="31">
        <v>3.1225823187189143E7</v>
      </c>
      <c r="K12" s="31">
        <v>3.9535953818793155E7</v>
      </c>
      <c r="L12" s="31">
        <v>3.2911743484387472E7</v>
      </c>
      <c r="M12" s="31">
        <v>3.362226784684862E7</v>
      </c>
      <c r="N12" s="31">
        <v>3.2203261274880763E7</v>
      </c>
      <c r="O12" s="31">
        <v>3.2102247634708527E7</v>
      </c>
      <c r="P12" s="31">
        <v>3.462530193557224E7</v>
      </c>
      <c r="Q12" s="31">
        <v>3.000148028022919E7</v>
      </c>
      <c r="R12" s="31">
        <v>2.89308535578072E7</v>
      </c>
      <c r="S12" s="31">
        <v>2.972263252224467E7</v>
      </c>
      <c r="T12" s="31">
        <v>3.1305768156583898E7</v>
      </c>
      <c r="U12" s="31">
        <v>2.861621385525291E7</v>
      </c>
      <c r="V12" s="31">
        <v>3.1893809000010226E7</v>
      </c>
      <c r="W12" s="31">
        <v>3.446668437247658E7</v>
      </c>
      <c r="X12" s="31">
        <v>3.022380113313508E7</v>
      </c>
      <c r="Y12" s="31">
        <v>2.9880728319053814E7</v>
      </c>
      <c r="Z12" s="31">
        <v>2.7505475051589176E7</v>
      </c>
      <c r="AA12" s="31">
        <v>2.7520785863771033E7</v>
      </c>
      <c r="AB12" s="31">
        <v>2.8173401472955935E7</v>
      </c>
      <c r="AC12" s="31">
        <v>2.702019517089236E7</v>
      </c>
      <c r="AD12" s="31">
        <v>2.6993885649856325E7</v>
      </c>
      <c r="AE12" s="31">
        <v>2.782517472599871E7</v>
      </c>
      <c r="AF12" s="31">
        <v>2.623845638417166E7</v>
      </c>
      <c r="AG12" s="31">
        <v>3.0023704222856928E7</v>
      </c>
      <c r="AH12" s="31">
        <v>2.895503762838791E7</v>
      </c>
      <c r="AI12" s="31">
        <v>3.2156777425127514E7</v>
      </c>
      <c r="AJ12" s="31">
        <v>2.758376492757595E7</v>
      </c>
      <c r="AK12" s="31">
        <v>2.803715094491597E7</v>
      </c>
      <c r="AL12" s="31">
        <v>2.709777223574628E7</v>
      </c>
      <c r="AM12" s="31">
        <v>2.65703883052404E7</v>
      </c>
      <c r="AN12" s="31">
        <v>2.8267269483522516E7</v>
      </c>
      <c r="AO12" s="31">
        <v>2.7639209579080053E7</v>
      </c>
      <c r="AP12" s="31">
        <v>2.870736776638482E7</v>
      </c>
      <c r="AQ12" s="31">
        <v>2.8855909093117014E7</v>
      </c>
      <c r="AR12" s="31">
        <v>3.0497567501628518E7</v>
      </c>
      <c r="AS12" s="31">
        <v>2.719773822638209E7</v>
      </c>
      <c r="AT12" s="31">
        <v>3.0872520109740403E7</v>
      </c>
      <c r="AU12" s="31">
        <v>3.1194689085288342E7</v>
      </c>
      <c r="AV12" s="31">
        <v>2.7317281031276133E7</v>
      </c>
      <c r="AW12" s="31">
        <v>2.8730118059762385E7</v>
      </c>
      <c r="AX12" s="31">
        <v>2.763804306284942E7</v>
      </c>
      <c r="AY12" s="33">
        <v>2.6845290400985263E7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9">J14</f>
        <v>1280388.639</v>
      </c>
      <c r="G14" s="31">
        <f t="shared" si="9"/>
        <v>1361717.731</v>
      </c>
      <c r="H14" s="32">
        <f t="shared" ref="H14:H16" si="11">IFERROR(F14/G14-1,"-")</f>
        <v>-0.05972536703</v>
      </c>
      <c r="I14" s="30"/>
      <c r="J14" s="31">
        <v>1280388.639287352</v>
      </c>
      <c r="K14" s="31">
        <v>1361717.730534543</v>
      </c>
      <c r="L14" s="31">
        <v>1153090.3270616082</v>
      </c>
      <c r="M14" s="31">
        <v>1141334.1897505075</v>
      </c>
      <c r="N14" s="31">
        <v>1092459.1197407248</v>
      </c>
      <c r="O14" s="31">
        <v>1096433.0704524328</v>
      </c>
      <c r="P14" s="31">
        <v>1104946.2836825675</v>
      </c>
      <c r="Q14" s="31">
        <v>917103.0853821436</v>
      </c>
      <c r="R14" s="31">
        <v>822320.8552123733</v>
      </c>
      <c r="S14" s="31">
        <v>814868.7127784042</v>
      </c>
      <c r="T14" s="31">
        <v>802252.7576157636</v>
      </c>
      <c r="U14" s="31">
        <v>779635.4481481799</v>
      </c>
      <c r="V14" s="31">
        <v>897246.2827536393</v>
      </c>
      <c r="W14" s="31">
        <v>898832.7631508147</v>
      </c>
      <c r="X14" s="36">
        <v>774414.482110094</v>
      </c>
      <c r="Y14" s="36">
        <v>733771.2652754348</v>
      </c>
      <c r="Z14" s="36">
        <v>693890.9389091531</v>
      </c>
      <c r="AA14" s="36">
        <v>692562.9972742203</v>
      </c>
      <c r="AB14" s="36">
        <v>689679.6014666449</v>
      </c>
      <c r="AC14" s="36">
        <v>634739.693344797</v>
      </c>
      <c r="AD14" s="36">
        <v>629560.4192557097</v>
      </c>
      <c r="AE14" s="36">
        <v>635250.3124878566</v>
      </c>
      <c r="AF14" s="36">
        <v>561739.972553201</v>
      </c>
      <c r="AG14" s="36">
        <v>661829.4036925309</v>
      </c>
      <c r="AH14" s="36">
        <v>671569.2591012436</v>
      </c>
      <c r="AI14" s="36">
        <v>704547.0772716071</v>
      </c>
      <c r="AJ14" s="36">
        <v>613356.402357993</v>
      </c>
      <c r="AK14" s="36">
        <v>621401.6680523625</v>
      </c>
      <c r="AL14" s="36">
        <v>617894.4777074663</v>
      </c>
      <c r="AM14" s="36">
        <v>620909.9434495114</v>
      </c>
      <c r="AN14" s="36">
        <v>631068.5655855812</v>
      </c>
      <c r="AO14" s="36">
        <v>600066.4018395118</v>
      </c>
      <c r="AP14" s="36">
        <v>621568.3382966097</v>
      </c>
      <c r="AQ14" s="36">
        <v>611880.2434851374</v>
      </c>
      <c r="AR14" s="36">
        <v>616539.9197399279</v>
      </c>
      <c r="AS14" s="36">
        <v>548865.9420157511</v>
      </c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>
        <f t="shared" ref="F15:G15" si="10">J15</f>
        <v>0.04100415965</v>
      </c>
      <c r="G15" s="40">
        <f t="shared" si="10"/>
        <v>0.03444251622</v>
      </c>
      <c r="H15" s="32">
        <f t="shared" si="11"/>
        <v>0.1905099905</v>
      </c>
      <c r="I15" s="30"/>
      <c r="J15" s="40">
        <v>0.04100415965375256</v>
      </c>
      <c r="K15" s="40">
        <v>0.034442516216397934</v>
      </c>
      <c r="L15" s="40">
        <v>0.03503583234989074</v>
      </c>
      <c r="M15" s="40">
        <v>0.03394578244838661</v>
      </c>
      <c r="N15" s="40">
        <v>0.03392386598412212</v>
      </c>
      <c r="O15" s="40">
        <v>0.0341544019885693</v>
      </c>
      <c r="P15" s="40">
        <v>0.0319115277532758</v>
      </c>
      <c r="Q15" s="40">
        <v>0.03056859450986855</v>
      </c>
      <c r="R15" s="40">
        <v>0.028423663808234377</v>
      </c>
      <c r="S15" s="40">
        <v>0.027415765146931368</v>
      </c>
      <c r="T15" s="40">
        <v>0.025626355935528842</v>
      </c>
      <c r="U15" s="40">
        <v>0.027244535286594766</v>
      </c>
      <c r="V15" s="40">
        <v>0.028132302502763204</v>
      </c>
      <c r="W15" s="40">
        <v>0.02607830661740643</v>
      </c>
      <c r="X15" s="36">
        <v>0.025622669984454234</v>
      </c>
      <c r="Y15" s="36">
        <v>0.02455667269688124</v>
      </c>
      <c r="Z15" s="36">
        <v>0.025227375190128278</v>
      </c>
      <c r="AA15" s="36">
        <v>0.025165087970323022</v>
      </c>
      <c r="AB15" s="36">
        <v>0.024479813065123805</v>
      </c>
      <c r="AC15" s="36">
        <v>0.023491306755199663</v>
      </c>
      <c r="AD15" s="36">
        <v>0.023322334080460944</v>
      </c>
      <c r="AE15" s="36">
        <v>0.022830056549269555</v>
      </c>
      <c r="AF15" s="36">
        <v>0.021409032769628567</v>
      </c>
      <c r="AG15" s="36">
        <v>0.022043562605732134</v>
      </c>
      <c r="AH15" s="36">
        <v>0.023193520509979516</v>
      </c>
      <c r="AI15" s="36">
        <v>0.021909753827542105</v>
      </c>
      <c r="AJ15" s="36">
        <v>0.022236137958992333</v>
      </c>
      <c r="AK15" s="36">
        <v>0.022163509740102266</v>
      </c>
      <c r="AL15" s="36">
        <v>0.02280240871212155</v>
      </c>
      <c r="AM15" s="36">
        <v>0.02336849338882455</v>
      </c>
      <c r="AN15" s="36">
        <v>0.02232506277104133</v>
      </c>
      <c r="AO15" s="36">
        <v>0.021710693286022854</v>
      </c>
      <c r="AP15" s="36">
        <v>0.02165187499442012</v>
      </c>
      <c r="AQ15" s="36">
        <v>0.021204677402837012</v>
      </c>
      <c r="AR15" s="36">
        <v>0.02021603590866733</v>
      </c>
      <c r="AS15" s="36">
        <v>0.020180573011153752</v>
      </c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>
        <f t="shared" ref="F16:G16" si="12">J16</f>
        <v>5.33658542</v>
      </c>
      <c r="G16" s="36">
        <f t="shared" si="12"/>
        <v>5.799009341</v>
      </c>
      <c r="H16" s="32">
        <f t="shared" si="11"/>
        <v>-0.07974188236</v>
      </c>
      <c r="I16" s="30"/>
      <c r="J16" s="36">
        <v>5.3365854201597</v>
      </c>
      <c r="K16" s="36">
        <v>5.799009340822624</v>
      </c>
      <c r="L16" s="36">
        <v>5.514721938315068</v>
      </c>
      <c r="M16" s="36">
        <v>5.407840950784142</v>
      </c>
      <c r="N16" s="36">
        <v>4.9501413856763605</v>
      </c>
      <c r="O16" s="36">
        <v>4.7057267041841895</v>
      </c>
      <c r="P16" s="36">
        <v>5.230247328949538</v>
      </c>
      <c r="Q16" s="36">
        <v>5.0092661229440045</v>
      </c>
      <c r="R16" s="36">
        <v>5.187127300786333</v>
      </c>
      <c r="S16" s="36">
        <v>5.176112228541135</v>
      </c>
      <c r="T16" s="36">
        <v>5.158043931173302</v>
      </c>
      <c r="U16" s="36">
        <v>4.996690669095165</v>
      </c>
      <c r="V16" s="36">
        <v>4.8370495101916555</v>
      </c>
      <c r="W16" s="36">
        <v>5.037764997391138</v>
      </c>
      <c r="X16" s="36">
        <v>4.737811398370078</v>
      </c>
      <c r="Y16" s="36">
        <v>5.196285238766693</v>
      </c>
      <c r="Z16" s="31">
        <v>5.159455660116599</v>
      </c>
      <c r="AA16" s="31">
        <v>5.115754988534363</v>
      </c>
      <c r="AB16" s="31">
        <v>5.067489436557245</v>
      </c>
      <c r="AC16" s="31">
        <v>5.145023080315489</v>
      </c>
      <c r="AD16" s="31">
        <v>5.2384422727798245</v>
      </c>
      <c r="AE16" s="31">
        <v>4.947491456969926</v>
      </c>
      <c r="AF16" s="31">
        <v>4.828273869591263</v>
      </c>
      <c r="AG16" s="31">
        <v>4.852636248727953</v>
      </c>
      <c r="AH16" s="31">
        <v>4.628959811618117</v>
      </c>
      <c r="AI16" s="31">
        <v>4.784215770829006</v>
      </c>
      <c r="AJ16" s="31">
        <v>4.501844415173782</v>
      </c>
      <c r="AK16" s="31">
        <v>4.606319197013409</v>
      </c>
      <c r="AL16" s="31">
        <v>4.714337570401809</v>
      </c>
      <c r="AM16" s="31">
        <v>4.591363452120076</v>
      </c>
      <c r="AN16" s="31">
        <v>4.697519968356455</v>
      </c>
      <c r="AO16" s="31">
        <v>4.67590634121932</v>
      </c>
      <c r="AP16" s="31">
        <v>4.57910003720128</v>
      </c>
      <c r="AQ16" s="31">
        <v>4.6391461861270376</v>
      </c>
      <c r="AR16" s="31">
        <v>4.789448663217555</v>
      </c>
      <c r="AS16" s="31">
        <v>4.75999816845139</v>
      </c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3">J18</f>
        <v>1210650.162</v>
      </c>
      <c r="G18" s="31">
        <f t="shared" si="13"/>
        <v>1287247.518</v>
      </c>
      <c r="H18" s="32">
        <f t="shared" ref="H18:H19" si="15">IFERROR(F18/G18-1,"-")</f>
        <v>-0.05950476039</v>
      </c>
      <c r="I18" s="30"/>
      <c r="J18" s="31">
        <v>1210650.16242205</v>
      </c>
      <c r="K18" s="31">
        <v>1287247.51751079</v>
      </c>
      <c r="L18" s="31">
        <v>1087103.75983312</v>
      </c>
      <c r="M18" s="31">
        <v>1081116.81314943</v>
      </c>
      <c r="N18" s="31">
        <v>1035230.94688531</v>
      </c>
      <c r="O18" s="31">
        <v>1059679.00484122</v>
      </c>
      <c r="P18" s="31">
        <v>1065490.14733936</v>
      </c>
      <c r="Q18" s="31">
        <v>877065.688683426</v>
      </c>
      <c r="R18" s="31">
        <v>797688.406042657</v>
      </c>
      <c r="S18" s="31">
        <v>789276.056061935</v>
      </c>
      <c r="T18" s="31">
        <v>780096.14499666</v>
      </c>
      <c r="U18" s="31">
        <v>759096.737440458</v>
      </c>
      <c r="V18" s="31">
        <v>877131.64078025</v>
      </c>
      <c r="W18" s="31">
        <v>877575.01036579</v>
      </c>
      <c r="X18" s="36">
        <v>757740.799374688</v>
      </c>
      <c r="Y18" s="36">
        <v>718248.227021997</v>
      </c>
      <c r="Z18" s="36">
        <v>679864.854759223</v>
      </c>
      <c r="AA18" s="36">
        <v>678778.546498433</v>
      </c>
      <c r="AB18" s="36">
        <v>674673.334348455</v>
      </c>
      <c r="AC18" s="36">
        <v>623328.864190591</v>
      </c>
      <c r="AD18" s="36">
        <v>621749.161023342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>
        <f t="shared" ref="F19:G19" si="14">J19</f>
        <v>0.03877080054</v>
      </c>
      <c r="G19" s="40">
        <f t="shared" si="14"/>
        <v>0.03255890887</v>
      </c>
      <c r="H19" s="32">
        <f t="shared" si="15"/>
        <v>0.1907893072</v>
      </c>
      <c r="I19" s="30"/>
      <c r="J19" s="58">
        <v>0.0387708005378938</v>
      </c>
      <c r="K19" s="58">
        <v>0.0325589088709151</v>
      </c>
      <c r="L19" s="58">
        <v>0.0330308772717805</v>
      </c>
      <c r="M19" s="58">
        <v>0.0321547855746669</v>
      </c>
      <c r="N19" s="58">
        <v>0.0321467735223705</v>
      </c>
      <c r="O19" s="58">
        <v>0.0330094956870095</v>
      </c>
      <c r="P19" s="58">
        <v>0.0307720102866377</v>
      </c>
      <c r="Q19" s="58">
        <v>0.029234080468403</v>
      </c>
      <c r="R19" s="58">
        <v>0.0275722389057337</v>
      </c>
      <c r="S19" s="58">
        <v>0.0265547156858072</v>
      </c>
      <c r="T19" s="58">
        <v>0.0249186073663744</v>
      </c>
      <c r="U19" s="58">
        <v>0.0265268054425416</v>
      </c>
      <c r="V19" s="58">
        <v>0.0275016270643612</v>
      </c>
      <c r="W19" s="58">
        <v>0.025461544280905</v>
      </c>
      <c r="X19" s="36">
        <v>0.0250709960681933</v>
      </c>
      <c r="Y19" s="36">
        <v>0.024037172700506</v>
      </c>
      <c r="Z19" s="36">
        <v>0.0247174372914509</v>
      </c>
      <c r="AA19" s="36">
        <v>0.0246642138003766</v>
      </c>
      <c r="AB19" s="36">
        <v>0.0239471735422534</v>
      </c>
      <c r="AC19" s="36">
        <v>0.0230689993261808</v>
      </c>
      <c r="AD19" s="36">
        <v>0.0230329626897064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6">J21</f>
        <v>1209395.2</v>
      </c>
      <c r="G21" s="31">
        <f t="shared" si="16"/>
        <v>1285730.951</v>
      </c>
      <c r="H21" s="32">
        <f t="shared" ref="H21:H22" si="18">IFERROR(F21/G21-1,"-")</f>
        <v>-0.05937148161</v>
      </c>
      <c r="I21" s="30"/>
      <c r="J21" s="31">
        <v>1209395.199513</v>
      </c>
      <c r="K21" s="31">
        <v>1285730.95103224</v>
      </c>
      <c r="L21" s="31">
        <v>1085081.99978477</v>
      </c>
      <c r="M21" s="31">
        <v>1079632.53467419</v>
      </c>
      <c r="N21" s="31">
        <v>1033531.39274295</v>
      </c>
      <c r="O21" s="31">
        <v>1058332.31580762</v>
      </c>
      <c r="P21" s="31">
        <v>1064352.63595224</v>
      </c>
      <c r="Q21" s="31">
        <v>876516.053865135</v>
      </c>
      <c r="R21" s="31">
        <v>796780.735998304</v>
      </c>
      <c r="S21" s="31">
        <v>787981.270881903</v>
      </c>
      <c r="T21" s="31">
        <v>778603.338969425</v>
      </c>
      <c r="U21" s="31">
        <v>757861.519667909</v>
      </c>
      <c r="V21" s="31">
        <v>875906.939941897</v>
      </c>
      <c r="W21" s="31">
        <v>876300.202705084</v>
      </c>
      <c r="X21" s="36">
        <v>756228.384268034</v>
      </c>
      <c r="Y21" s="36">
        <v>716682.518500538</v>
      </c>
      <c r="Z21" s="36">
        <v>678322.440604133</v>
      </c>
      <c r="AA21" s="36">
        <v>677083.448396702</v>
      </c>
      <c r="AB21" s="36">
        <v>674025.862836037</v>
      </c>
      <c r="AC21" s="36">
        <v>623042.873894899</v>
      </c>
      <c r="AD21" s="36">
        <v>621318.016856926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26"/>
      <c r="B22" s="27"/>
      <c r="C22" s="28" t="s">
        <v>21</v>
      </c>
      <c r="D22" s="39" t="s">
        <v>10</v>
      </c>
      <c r="E22" s="30"/>
      <c r="F22" s="40">
        <f t="shared" ref="F22:G22" si="17">J22</f>
        <v>0.03873061063</v>
      </c>
      <c r="G22" s="40">
        <f t="shared" si="17"/>
        <v>0.0325205497</v>
      </c>
      <c r="H22" s="32">
        <f t="shared" si="18"/>
        <v>0.1909580555</v>
      </c>
      <c r="I22" s="30"/>
      <c r="J22" s="58">
        <v>0.0387306106315615</v>
      </c>
      <c r="K22" s="58">
        <v>0.0325205496982616</v>
      </c>
      <c r="L22" s="58">
        <v>0.0329694475256078</v>
      </c>
      <c r="M22" s="58">
        <v>0.0321106398768811</v>
      </c>
      <c r="N22" s="58">
        <v>0.0320939976830586</v>
      </c>
      <c r="O22" s="58">
        <v>0.0329675456949429</v>
      </c>
      <c r="P22" s="58">
        <v>0.0307391582586831</v>
      </c>
      <c r="Q22" s="58">
        <v>0.0292157602117637</v>
      </c>
      <c r="R22" s="58">
        <v>0.0275408651323143</v>
      </c>
      <c r="S22" s="58">
        <v>0.0265111534212917</v>
      </c>
      <c r="T22" s="58">
        <v>0.0248709226707052</v>
      </c>
      <c r="U22" s="58">
        <v>0.0264836404809294</v>
      </c>
      <c r="V22" s="58">
        <v>0.0274632277361922</v>
      </c>
      <c r="W22" s="58">
        <v>0.025424557617293</v>
      </c>
      <c r="X22" s="58">
        <v>0.0250209555355683</v>
      </c>
      <c r="Y22" s="58">
        <v>0.0239847740941286</v>
      </c>
      <c r="Z22" s="36">
        <v>0.0246613606684441</v>
      </c>
      <c r="AA22" s="36">
        <v>0.0246026204247324</v>
      </c>
      <c r="AB22" s="36">
        <v>0.0239241918830086</v>
      </c>
      <c r="AC22" s="36">
        <v>0.0230584150097507</v>
      </c>
      <c r="AD22" s="36">
        <v>0.023016990770287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7"/>
      <c r="AZ22" s="37"/>
      <c r="BA22" s="37"/>
      <c r="BB22" s="37"/>
      <c r="BC22" s="37"/>
      <c r="BD22" s="37"/>
      <c r="BE22" s="37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19">J24</f>
        <v>1737939.557</v>
      </c>
      <c r="G24" s="31">
        <f t="shared" si="19"/>
        <v>2248477.241</v>
      </c>
      <c r="H24" s="32">
        <f t="shared" ref="H24:H26" si="21">IFERROR(F24/G24-1,"-")</f>
        <v>-0.2270593071</v>
      </c>
      <c r="I24" s="30"/>
      <c r="J24" s="31">
        <v>1737939.5567897446</v>
      </c>
      <c r="K24" s="31">
        <v>2248477.241207794</v>
      </c>
      <c r="L24" s="31">
        <v>1853336.6107799688</v>
      </c>
      <c r="M24" s="31">
        <v>1868106.6509379854</v>
      </c>
      <c r="N24" s="31">
        <v>1832865.0027196174</v>
      </c>
      <c r="O24" s="31">
        <v>1825091.755327004</v>
      </c>
      <c r="P24" s="31">
        <v>1973558.8875633108</v>
      </c>
      <c r="Q24" s="31">
        <v>1697599.3050997187</v>
      </c>
      <c r="R24" s="31">
        <v>1622817.6506481178</v>
      </c>
      <c r="S24" s="31">
        <v>1677149.9359186792</v>
      </c>
      <c r="T24" s="31">
        <v>1766459.9601930424</v>
      </c>
      <c r="U24" s="31">
        <v>1618546.4998740263</v>
      </c>
      <c r="V24" s="31">
        <v>1805339.0049251516</v>
      </c>
      <c r="W24" s="31">
        <v>1956262.0895075558</v>
      </c>
      <c r="X24" s="31">
        <v>1697177.874896826</v>
      </c>
      <c r="Y24" s="31">
        <v>1674736.8947081831</v>
      </c>
      <c r="Z24" s="31">
        <v>1559279.4921978915</v>
      </c>
      <c r="AA24" s="31">
        <v>1564645.1722922926</v>
      </c>
      <c r="AB24" s="31">
        <v>1608549.7461205204</v>
      </c>
      <c r="AC24" s="31">
        <v>1530026.695621855</v>
      </c>
      <c r="AD24" s="31">
        <v>1535179.0065464014</v>
      </c>
      <c r="AE24" s="31">
        <v>1586343.5440597213</v>
      </c>
      <c r="AF24" s="31">
        <v>1495436.9073785665</v>
      </c>
      <c r="AG24" s="31">
        <v>1691278.4252500834</v>
      </c>
      <c r="AH24" s="31">
        <v>1613192.2419341365</v>
      </c>
      <c r="AI24" s="31">
        <v>1803685.380864667</v>
      </c>
      <c r="AJ24" s="31">
        <v>1534548.6997427016</v>
      </c>
      <c r="AK24" s="31">
        <v>1550045.9470415094</v>
      </c>
      <c r="AL24" s="36">
        <v>1519185.5518918866</v>
      </c>
      <c r="AM24" s="36">
        <v>1488447.4941753726</v>
      </c>
      <c r="AN24" s="36">
        <v>1587323.076416056</v>
      </c>
      <c r="AO24" s="36">
        <v>1547892.6045947704</v>
      </c>
      <c r="AP24" s="36">
        <v>1224350.182900798</v>
      </c>
      <c r="AQ24" s="36">
        <v>1233257.5494418018</v>
      </c>
      <c r="AR24" s="36">
        <v>1301590.9611469044</v>
      </c>
      <c r="AS24" s="36">
        <v>1155007.009291038</v>
      </c>
      <c r="AT24" s="36">
        <v>1305448.8892301093</v>
      </c>
      <c r="AU24" s="36">
        <v>1330760.8917445748</v>
      </c>
      <c r="AV24" s="36">
        <v>1142596.097843215</v>
      </c>
      <c r="AW24" s="36">
        <v>1193863.7092087865</v>
      </c>
      <c r="AX24" s="36">
        <v>1163977.8062401298</v>
      </c>
      <c r="AY24" s="37">
        <v>909668.2419919237</v>
      </c>
      <c r="AZ24" s="37">
        <v>999737.1346172661</v>
      </c>
      <c r="BA24" s="37">
        <v>944803.8417488184</v>
      </c>
      <c r="BB24" s="37">
        <v>800568.9676681848</v>
      </c>
      <c r="BC24" s="37">
        <v>777012.996737109</v>
      </c>
      <c r="BD24" s="37">
        <v>790924.9257627012</v>
      </c>
      <c r="BE24" s="37">
        <v>791444.9530377048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20">J25</f>
        <v>0.0556571254</v>
      </c>
      <c r="G25" s="40">
        <f t="shared" si="20"/>
        <v>0.05687170851</v>
      </c>
      <c r="H25" s="50">
        <f t="shared" si="21"/>
        <v>-0.0213565434</v>
      </c>
      <c r="I25" s="49"/>
      <c r="J25" s="40">
        <v>0.05565712539814675</v>
      </c>
      <c r="K25" s="40">
        <v>0.05687170850900263</v>
      </c>
      <c r="L25" s="40">
        <v>0.05631231939016377</v>
      </c>
      <c r="M25" s="40">
        <v>0.05556158970142405</v>
      </c>
      <c r="N25" s="40">
        <v>0.056915508869571904</v>
      </c>
      <c r="O25" s="40">
        <v>0.05685246017957132</v>
      </c>
      <c r="P25" s="40">
        <v>0.05699759358735812</v>
      </c>
      <c r="Q25" s="40">
        <v>0.05658385150476816</v>
      </c>
      <c r="R25" s="40">
        <v>0.056092975183243035</v>
      </c>
      <c r="S25" s="40">
        <v>0.056426695537936826</v>
      </c>
      <c r="T25" s="40">
        <v>0.05642602191895232</v>
      </c>
      <c r="U25" s="40">
        <v>0.05656046981131011</v>
      </c>
      <c r="V25" s="40">
        <v>0.05660468478144372</v>
      </c>
      <c r="W25" s="40">
        <v>0.05675805854623289</v>
      </c>
      <c r="X25" s="40">
        <v>0.05615368720237406</v>
      </c>
      <c r="Y25" s="40">
        <v>0.05604739204567067</v>
      </c>
      <c r="Z25" s="40">
        <v>0.056689785916197125</v>
      </c>
      <c r="AA25" s="40">
        <v>0.05685321560355679</v>
      </c>
      <c r="AB25" s="40">
        <v>0.057094623368945746</v>
      </c>
      <c r="AC25" s="40">
        <v>0.056625301406781986</v>
      </c>
      <c r="AD25" s="40">
        <v>0.05687136066513538</v>
      </c>
      <c r="AE25" s="40">
        <v>0.05701109012542899</v>
      </c>
      <c r="AF25" s="40">
        <v>0.056994088580633435</v>
      </c>
      <c r="AG25" s="40">
        <v>0.05633143774319892</v>
      </c>
      <c r="AH25" s="40">
        <v>0.05571369868822208</v>
      </c>
      <c r="AI25" s="40">
        <v>0.056090364933622225</v>
      </c>
      <c r="AJ25" s="40">
        <v>0.055632315014713156</v>
      </c>
      <c r="AK25" s="40">
        <v>0.0552854300384106</v>
      </c>
      <c r="AL25" s="40">
        <v>0.05606311613645637</v>
      </c>
      <c r="AM25" s="40">
        <v>0.05601903431278837</v>
      </c>
      <c r="AN25" s="40">
        <v>0.05615409996856379</v>
      </c>
      <c r="AO25" s="40">
        <v>0.056003504737210746</v>
      </c>
      <c r="AP25" s="40">
        <v>0.04264933632593313</v>
      </c>
      <c r="AQ25" s="40">
        <v>0.04273847500219531</v>
      </c>
      <c r="AR25" s="40">
        <v>0.0426785172646114</v>
      </c>
      <c r="AS25" s="40">
        <v>0.04246702426787346</v>
      </c>
      <c r="AT25" s="40">
        <v>0.042285141756802515</v>
      </c>
      <c r="AU25" s="40">
        <v>0.0426598543138605</v>
      </c>
      <c r="AV25" s="40">
        <v>0.04182686031362465</v>
      </c>
      <c r="AW25" s="40">
        <v>0.041554431023408764</v>
      </c>
      <c r="AX25" s="40">
        <v>0.042115058710677264</v>
      </c>
      <c r="AY25" s="51">
        <v>0.03388558024161055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2">J26</f>
        <v>1624162.424</v>
      </c>
      <c r="G26" s="31">
        <f t="shared" si="22"/>
        <v>2587172.091</v>
      </c>
      <c r="H26" s="32">
        <f t="shared" si="21"/>
        <v>-0.3722248206</v>
      </c>
      <c r="I26" s="30"/>
      <c r="J26" s="31">
        <v>1624162.423679478</v>
      </c>
      <c r="K26" s="31">
        <v>2587172.091045737</v>
      </c>
      <c r="L26" s="31">
        <v>2289684.2620278206</v>
      </c>
      <c r="M26" s="31">
        <v>2185316.428405256</v>
      </c>
      <c r="N26" s="31">
        <v>2086749.4346546752</v>
      </c>
      <c r="O26" s="31">
        <v>2029580.6530096498</v>
      </c>
      <c r="P26" s="31">
        <v>2180382.2595522176</v>
      </c>
      <c r="Q26" s="31">
        <v>1622979.5547908507</v>
      </c>
      <c r="R26" s="31">
        <v>1420018.6202881385</v>
      </c>
      <c r="S26" s="31">
        <v>1425452.1871572454</v>
      </c>
      <c r="T26" s="31">
        <v>1441854.360463096</v>
      </c>
      <c r="U26" s="31">
        <v>1371615.4044620576</v>
      </c>
      <c r="V26" s="31">
        <v>1556306.101318943</v>
      </c>
      <c r="W26" s="31">
        <v>1669777.7628674717</v>
      </c>
      <c r="X26" s="31">
        <v>1431042.9888224136</v>
      </c>
      <c r="Y26" s="31">
        <v>1436252.0865846782</v>
      </c>
      <c r="Z26" s="31">
        <v>1351984.8983168516</v>
      </c>
      <c r="AA26" s="31">
        <v>1347030.4737576372</v>
      </c>
      <c r="AB26" s="31">
        <v>1416582.5491646156</v>
      </c>
      <c r="AC26" s="31">
        <v>1291765.0663440449</v>
      </c>
      <c r="AD26" s="31">
        <v>1184057.071441438</v>
      </c>
      <c r="AE26" s="31">
        <v>1182032.8170401584</v>
      </c>
      <c r="AF26" s="31">
        <v>1065158.143687727</v>
      </c>
      <c r="AG26" s="31">
        <v>1204654.2089730962</v>
      </c>
      <c r="AH26" s="31">
        <v>1075900.3373492856</v>
      </c>
      <c r="AI26" s="31">
        <v>1251980.8992111958</v>
      </c>
      <c r="AJ26" s="31">
        <v>940743.3796742569</v>
      </c>
      <c r="AK26" s="31">
        <v>971052.5282358204</v>
      </c>
      <c r="AL26" s="36">
        <v>956824.9506526119</v>
      </c>
      <c r="AM26" s="36">
        <v>910896.9627175636</v>
      </c>
      <c r="AN26" s="36">
        <v>1123910.635848083</v>
      </c>
      <c r="AO26" s="36">
        <v>985359.8296487363</v>
      </c>
      <c r="AP26" s="36">
        <v>979929.5217783368</v>
      </c>
      <c r="AQ26" s="36">
        <v>992499.053777237</v>
      </c>
      <c r="AR26" s="36">
        <v>1006762.2999137418</v>
      </c>
      <c r="AS26" s="36">
        <v>790675.2309596287</v>
      </c>
      <c r="AT26" s="36">
        <v>1042297.6186285141</v>
      </c>
      <c r="AU26" s="36">
        <v>1181711.7768422423</v>
      </c>
      <c r="AV26" s="36">
        <v>955782.291573833</v>
      </c>
      <c r="AW26" s="36">
        <v>1116282.1356369865</v>
      </c>
      <c r="AX26" s="36">
        <v>1021365.6278669173</v>
      </c>
      <c r="AY26" s="37">
        <v>970234.9040861335</v>
      </c>
      <c r="AZ26" s="37">
        <v>1152694.9351148605</v>
      </c>
      <c r="BA26" s="37">
        <v>951611.7278983518</v>
      </c>
      <c r="BB26" s="37">
        <v>1009657.5251273272</v>
      </c>
      <c r="BC26" s="37">
        <v>1001102.603575149</v>
      </c>
      <c r="BD26" s="37">
        <v>921868.1157132087</v>
      </c>
      <c r="BE26" s="37">
        <v>926471.0580656255</v>
      </c>
    </row>
    <row r="27">
      <c r="C27" s="1" t="s">
        <v>52</v>
      </c>
      <c r="D27" s="3"/>
      <c r="F27" s="4"/>
      <c r="G27" s="4"/>
      <c r="H27" s="5"/>
      <c r="K27" s="54"/>
      <c r="L27" s="54"/>
      <c r="M27" s="54"/>
      <c r="Z27" s="54"/>
      <c r="AA27" s="54"/>
      <c r="AB27" s="54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>
        <f t="shared" ref="F29:G29" si="23">J29</f>
        <v>1</v>
      </c>
      <c r="G29" s="55">
        <f t="shared" si="23"/>
        <v>1</v>
      </c>
      <c r="H29" s="56">
        <f t="shared" ref="H29:H37" si="25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4">J30</f>
        <v>0.3104388411</v>
      </c>
      <c r="G30" s="55">
        <f t="shared" si="24"/>
        <v>0.2997508098</v>
      </c>
      <c r="H30" s="32">
        <f t="shared" si="25"/>
        <v>0.03565638828</v>
      </c>
      <c r="I30" s="30"/>
      <c r="J30" s="40">
        <v>0.31043884110005227</v>
      </c>
      <c r="K30" s="40">
        <v>0.2997508098372271</v>
      </c>
      <c r="L30" s="40">
        <v>0.305382515878182</v>
      </c>
      <c r="M30" s="40">
        <v>0.29397021725837524</v>
      </c>
      <c r="N30" s="40">
        <v>0.3043225258304895</v>
      </c>
      <c r="O30" s="40">
        <v>0.3069915417773654</v>
      </c>
      <c r="P30" s="40">
        <v>0.3044774663441867</v>
      </c>
      <c r="Q30" s="40">
        <v>0.30996480562299145</v>
      </c>
      <c r="R30" s="40">
        <v>0.30975777509090663</v>
      </c>
      <c r="S30" s="40">
        <v>0.31237400247395464</v>
      </c>
      <c r="T30" s="40">
        <v>0.30883163706509187</v>
      </c>
      <c r="U30" s="40">
        <v>0.3027537532220356</v>
      </c>
      <c r="V30" s="40">
        <v>0.3061728637245121</v>
      </c>
      <c r="W30" s="40">
        <v>0.2976861086235131</v>
      </c>
      <c r="X30" s="31">
        <v>0.30031928630406635</v>
      </c>
      <c r="Y30" s="31">
        <v>0.30379199566421683</v>
      </c>
      <c r="Z30" s="31">
        <v>0.3026968832931398</v>
      </c>
      <c r="AA30" s="31">
        <v>0.3048922119905051</v>
      </c>
      <c r="AB30" s="31">
        <v>0.30033425144033116</v>
      </c>
      <c r="AC30" s="31">
        <v>0.30425678993203603</v>
      </c>
      <c r="AD30" s="31">
        <v>0.31207889763736013</v>
      </c>
      <c r="AE30" s="31">
        <v>0.30940051378950517</v>
      </c>
      <c r="AF30" s="31">
        <v>0.30615723413427176</v>
      </c>
      <c r="AG30" s="31">
        <v>0.29291179781551224</v>
      </c>
      <c r="AH30" s="31">
        <v>0.2968143637808299</v>
      </c>
      <c r="AI30" s="31">
        <v>0.29543157289310223</v>
      </c>
      <c r="AJ30" s="31">
        <v>0.3066945068606294</v>
      </c>
      <c r="AK30" s="31">
        <v>0.30871993614545323</v>
      </c>
      <c r="AL30" s="31">
        <v>0.293607122488335</v>
      </c>
      <c r="AM30" s="31">
        <v>0.2895472249992275</v>
      </c>
      <c r="AN30" s="31">
        <v>0.2870182787891317</v>
      </c>
      <c r="AO30" s="31">
        <v>0.2920143180207867</v>
      </c>
      <c r="AP30" s="31">
        <v>0.2925525239394623</v>
      </c>
      <c r="AQ30" s="31">
        <v>0.2944883521544381</v>
      </c>
      <c r="AR30" s="31">
        <v>0.2989941260941886</v>
      </c>
      <c r="AS30" s="31">
        <v>0.28851808506822996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6">J31</f>
        <v>0.04429994982</v>
      </c>
      <c r="G31" s="55">
        <f t="shared" si="26"/>
        <v>0.04542323751</v>
      </c>
      <c r="H31" s="32">
        <f t="shared" si="25"/>
        <v>-0.02472936214</v>
      </c>
      <c r="I31" s="30"/>
      <c r="J31" s="40">
        <v>0.04429994981865199</v>
      </c>
      <c r="K31" s="40">
        <v>0.045423237508436555</v>
      </c>
      <c r="L31" s="40">
        <v>0.04524010359661033</v>
      </c>
      <c r="M31" s="40">
        <v>0.041016572954570035</v>
      </c>
      <c r="N31" s="40">
        <v>0.04354269436762589</v>
      </c>
      <c r="O31" s="40">
        <v>0.04218569978420487</v>
      </c>
      <c r="P31" s="40">
        <v>0.03645691777979225</v>
      </c>
      <c r="Q31" s="40">
        <v>0.042826681162916644</v>
      </c>
      <c r="R31" s="40">
        <v>0.043176627325724984</v>
      </c>
      <c r="S31" s="40">
        <v>0.03955862603098425</v>
      </c>
      <c r="T31" s="40">
        <v>0.03760816420884676</v>
      </c>
      <c r="U31" s="40">
        <v>0.03210651225456066</v>
      </c>
      <c r="V31" s="40">
        <v>0.02157956783134736</v>
      </c>
      <c r="W31" s="40">
        <v>0.023260715721662925</v>
      </c>
      <c r="X31" s="31">
        <v>0.01963019499074669</v>
      </c>
      <c r="Y31" s="31">
        <v>0.01933173084418613</v>
      </c>
      <c r="Z31" s="31">
        <v>0.019390933915859228</v>
      </c>
      <c r="AA31" s="31">
        <v>0.018574227593790103</v>
      </c>
      <c r="AB31" s="31">
        <v>0.019545523312108536</v>
      </c>
      <c r="AC31" s="31">
        <v>0.019791882014971014</v>
      </c>
      <c r="AD31" s="31">
        <v>0.01985449290204224</v>
      </c>
      <c r="AE31" s="31">
        <v>0.020321207511360812</v>
      </c>
      <c r="AF31" s="31">
        <v>0.01964642199047467</v>
      </c>
      <c r="AG31" s="31">
        <v>0.01968085347898978</v>
      </c>
      <c r="AH31" s="31">
        <v>0.02026761149578124</v>
      </c>
      <c r="AI31" s="31">
        <v>0.02105087663386912</v>
      </c>
      <c r="AJ31" s="31">
        <v>0.018272254546591846</v>
      </c>
      <c r="AK31" s="31">
        <v>0.01784411104435351</v>
      </c>
      <c r="AL31" s="31">
        <v>0.01658174766402771</v>
      </c>
      <c r="AM31" s="31">
        <v>0.016094360950458415</v>
      </c>
      <c r="AN31" s="31">
        <v>0.016341212434024616</v>
      </c>
      <c r="AO31" s="31">
        <v>0.016341257727020376</v>
      </c>
      <c r="AP31" s="31">
        <v>0.01711569099084344</v>
      </c>
      <c r="AQ31" s="31">
        <v>0.01646406627506072</v>
      </c>
      <c r="AR31" s="31">
        <v>0.015926668032712768</v>
      </c>
      <c r="AS31" s="31">
        <v>0.01735036664366328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27">J32</f>
        <v>0.0910096702</v>
      </c>
      <c r="G32" s="55">
        <f t="shared" si="27"/>
        <v>0.09012494389</v>
      </c>
      <c r="H32" s="32">
        <f t="shared" si="25"/>
        <v>0.009816664181</v>
      </c>
      <c r="I32" s="30"/>
      <c r="J32" s="40">
        <v>0.09100967019576682</v>
      </c>
      <c r="K32" s="40">
        <v>0.09012494388728497</v>
      </c>
      <c r="L32" s="40">
        <v>0.09447813718436723</v>
      </c>
      <c r="M32" s="40">
        <v>0.09311037106061741</v>
      </c>
      <c r="N32" s="40">
        <v>0.0971729860585858</v>
      </c>
      <c r="O32" s="40">
        <v>0.09577314364705299</v>
      </c>
      <c r="P32" s="40">
        <v>0.0951933807719966</v>
      </c>
      <c r="Q32" s="40">
        <v>0.09838576849552415</v>
      </c>
      <c r="R32" s="40">
        <v>0.09872050527341025</v>
      </c>
      <c r="S32" s="40">
        <v>0.10268856790327549</v>
      </c>
      <c r="T32" s="40">
        <v>0.1023718945036843</v>
      </c>
      <c r="U32" s="40">
        <v>0.10396432456865758</v>
      </c>
      <c r="V32" s="40">
        <v>0.1058540431271882</v>
      </c>
      <c r="W32" s="40">
        <v>0.10353827558149512</v>
      </c>
      <c r="X32" s="31">
        <v>0.11038823413315571</v>
      </c>
      <c r="Y32" s="31">
        <v>0.11059125258674213</v>
      </c>
      <c r="Z32" s="31">
        <v>0.1148842366427722</v>
      </c>
      <c r="AA32" s="31">
        <v>0.11505781045069023</v>
      </c>
      <c r="AB32" s="31">
        <v>0.11370522936717462</v>
      </c>
      <c r="AC32" s="31">
        <v>0.11716218311497015</v>
      </c>
      <c r="AD32" s="31">
        <v>0.11124251213691144</v>
      </c>
      <c r="AE32" s="31">
        <v>0.11448129062098156</v>
      </c>
      <c r="AF32" s="31">
        <v>0.12218678215211871</v>
      </c>
      <c r="AG32" s="31">
        <v>0.12966184039590634</v>
      </c>
      <c r="AH32" s="31">
        <v>0.13073708021858632</v>
      </c>
      <c r="AI32" s="31">
        <v>0.11856801790872482</v>
      </c>
      <c r="AJ32" s="31">
        <v>0.11653466707179914</v>
      </c>
      <c r="AK32" s="31">
        <v>0.11666636088399572</v>
      </c>
      <c r="AL32" s="31">
        <v>0.11231285846918063</v>
      </c>
      <c r="AM32" s="31">
        <v>0.11255323111628963</v>
      </c>
      <c r="AN32" s="31">
        <v>0.11251999523018662</v>
      </c>
      <c r="AO32" s="31">
        <v>0.11570550170966051</v>
      </c>
      <c r="AP32" s="31">
        <v>0.11816646090998846</v>
      </c>
      <c r="AQ32" s="31">
        <v>0.12140894632655175</v>
      </c>
      <c r="AR32" s="31">
        <v>0.12179530252052143</v>
      </c>
      <c r="AS32" s="31">
        <v>0.13128452549667707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28">J33</f>
        <v>0.04594018944</v>
      </c>
      <c r="G33" s="55">
        <f t="shared" si="28"/>
        <v>0.04513985927</v>
      </c>
      <c r="H33" s="32">
        <f t="shared" si="25"/>
        <v>0.01773001042</v>
      </c>
      <c r="I33" s="30"/>
      <c r="J33" s="40">
        <v>0.045940189444581114</v>
      </c>
      <c r="K33" s="40">
        <v>0.04513985926935318</v>
      </c>
      <c r="L33" s="40">
        <v>0.04359270351931557</v>
      </c>
      <c r="M33" s="40">
        <v>0.04332569969377196</v>
      </c>
      <c r="N33" s="40">
        <v>0.04041024426077574</v>
      </c>
      <c r="O33" s="40">
        <v>0.040614584341304466</v>
      </c>
      <c r="P33" s="40">
        <v>0.0426094593982627</v>
      </c>
      <c r="Q33" s="40">
        <v>0.04283917906127695</v>
      </c>
      <c r="R33" s="40">
        <v>0.04286567271498663</v>
      </c>
      <c r="S33" s="40">
        <v>0.042083658733265625</v>
      </c>
      <c r="T33" s="40">
        <v>0.04331687851881546</v>
      </c>
      <c r="U33" s="40">
        <v>0.045613230098649316</v>
      </c>
      <c r="V33" s="40">
        <v>0.044950668280853576</v>
      </c>
      <c r="W33" s="40">
        <v>0.04572744063270287</v>
      </c>
      <c r="X33" s="31">
        <v>0.046321960721478206</v>
      </c>
      <c r="Y33" s="31">
        <v>0.044177829888193715</v>
      </c>
      <c r="Z33" s="31">
        <v>0.04315997274736479</v>
      </c>
      <c r="AA33" s="31">
        <v>0.04324957092942247</v>
      </c>
      <c r="AB33" s="31">
        <v>0.04384559656584174</v>
      </c>
      <c r="AC33" s="31">
        <v>0.036763428043517586</v>
      </c>
      <c r="AD33" s="31">
        <v>0.034890166879942314</v>
      </c>
      <c r="AE33" s="31">
        <v>0.03696274872703007</v>
      </c>
      <c r="AF33" s="31">
        <v>0.04478479862880263</v>
      </c>
      <c r="AG33" s="31">
        <v>0.04247047169784424</v>
      </c>
      <c r="AH33" s="31">
        <v>0.038438653672563744</v>
      </c>
      <c r="AI33" s="31">
        <v>0.0407051509548737</v>
      </c>
      <c r="AJ33" s="31">
        <v>0.03951510115946833</v>
      </c>
      <c r="AK33" s="31">
        <v>0.03914819754178045</v>
      </c>
      <c r="AL33" s="31">
        <v>0.04030530466951044</v>
      </c>
      <c r="AM33" s="31">
        <v>0.04053356537716571</v>
      </c>
      <c r="AN33" s="31">
        <v>0.0415849896057258</v>
      </c>
      <c r="AO33" s="31">
        <v>0.042567244578391256</v>
      </c>
      <c r="AP33" s="31">
        <v>0.04060387208737599</v>
      </c>
      <c r="AQ33" s="31">
        <v>0.03807570069265394</v>
      </c>
      <c r="AR33" s="31">
        <v>0.03942290744704931</v>
      </c>
      <c r="AS33" s="31">
        <v>0.03901260825230698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29">J34</f>
        <v>0.1945051933</v>
      </c>
      <c r="G34" s="55">
        <f t="shared" si="29"/>
        <v>0.1960298071</v>
      </c>
      <c r="H34" s="32">
        <f t="shared" si="25"/>
        <v>-0.007777459101</v>
      </c>
      <c r="I34" s="30"/>
      <c r="J34" s="40">
        <v>0.19450519333455646</v>
      </c>
      <c r="K34" s="40">
        <v>0.19602980714220225</v>
      </c>
      <c r="L34" s="40">
        <v>0.19745691839152377</v>
      </c>
      <c r="M34" s="40">
        <v>0.1933655039666799</v>
      </c>
      <c r="N34" s="40">
        <v>0.20977605281997347</v>
      </c>
      <c r="O34" s="40">
        <v>0.21357218444468593</v>
      </c>
      <c r="P34" s="40">
        <v>0.20578798407100277</v>
      </c>
      <c r="Q34" s="40">
        <v>0.21050431627712995</v>
      </c>
      <c r="R34" s="40">
        <v>0.2108809754200313</v>
      </c>
      <c r="S34" s="40">
        <v>0.20310217327253852</v>
      </c>
      <c r="T34" s="40">
        <v>0.2058087710010354</v>
      </c>
      <c r="U34" s="40">
        <v>0.20545560883466207</v>
      </c>
      <c r="V34" s="40">
        <v>0.20591172602166447</v>
      </c>
      <c r="W34" s="40">
        <v>0.20413769635279191</v>
      </c>
      <c r="X34" s="31">
        <v>0.20212737816409743</v>
      </c>
      <c r="Y34" s="31">
        <v>0.18700903912127598</v>
      </c>
      <c r="Z34" s="31">
        <v>0.18495676563497976</v>
      </c>
      <c r="AA34" s="31">
        <v>0.1879946396570063</v>
      </c>
      <c r="AB34" s="31">
        <v>0.20368100682092308</v>
      </c>
      <c r="AC34" s="31">
        <v>0.20968935468727118</v>
      </c>
      <c r="AD34" s="31">
        <v>0.2087153338819099</v>
      </c>
      <c r="AE34" s="31">
        <v>0.20417107781538119</v>
      </c>
      <c r="AF34" s="31">
        <v>0.20416164166251088</v>
      </c>
      <c r="AG34" s="31">
        <v>0.2073554581729595</v>
      </c>
      <c r="AH34" s="31">
        <v>0.20689541476808987</v>
      </c>
      <c r="AI34" s="31">
        <v>0.21204760670930436</v>
      </c>
      <c r="AJ34" s="31">
        <v>0.2164517594818744</v>
      </c>
      <c r="AK34" s="31">
        <v>0.2110566916915642</v>
      </c>
      <c r="AL34" s="31">
        <v>0.20872746011794943</v>
      </c>
      <c r="AM34" s="31">
        <v>0.20633771136430049</v>
      </c>
      <c r="AN34" s="31">
        <v>0.20626928765860153</v>
      </c>
      <c r="AO34" s="31">
        <v>0.20375235593963176</v>
      </c>
      <c r="AP34" s="31">
        <v>0.20388994334313568</v>
      </c>
      <c r="AQ34" s="31">
        <v>0.19672275647612217</v>
      </c>
      <c r="AR34" s="31">
        <v>0.19497492208623274</v>
      </c>
      <c r="AS34" s="31">
        <v>0.20113494026005194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30">J35</f>
        <v>0.02344432139</v>
      </c>
      <c r="G35" s="55">
        <f t="shared" si="30"/>
        <v>0.02435629592</v>
      </c>
      <c r="H35" s="32">
        <f t="shared" si="25"/>
        <v>-0.03744307146</v>
      </c>
      <c r="I35" s="30"/>
      <c r="J35" s="40">
        <v>0.023444321392293764</v>
      </c>
      <c r="K35" s="40">
        <v>0.024356295920976302</v>
      </c>
      <c r="L35" s="40">
        <v>0.022525855576612266</v>
      </c>
      <c r="M35" s="40">
        <v>0.020691755404292755</v>
      </c>
      <c r="N35" s="40">
        <v>0.020781548349012125</v>
      </c>
      <c r="O35" s="40">
        <v>0.020955904171944255</v>
      </c>
      <c r="P35" s="40">
        <v>0.021057415572464603</v>
      </c>
      <c r="Q35" s="40">
        <v>0.02043536773368376</v>
      </c>
      <c r="R35" s="40">
        <v>0.019671390071799924</v>
      </c>
      <c r="S35" s="40">
        <v>0.02155669765735721</v>
      </c>
      <c r="T35" s="40">
        <v>0.02029017177785603</v>
      </c>
      <c r="U35" s="40">
        <v>0.021613369164496018</v>
      </c>
      <c r="V35" s="40">
        <v>0.023798817944377805</v>
      </c>
      <c r="W35" s="40">
        <v>0.023446678080021714</v>
      </c>
      <c r="X35" s="31">
        <v>0.022639496204543995</v>
      </c>
      <c r="Y35" s="31">
        <v>0.021301792395182814</v>
      </c>
      <c r="Z35" s="31">
        <v>0.019345953738402134</v>
      </c>
      <c r="AA35" s="31">
        <v>0.019151451412345376</v>
      </c>
      <c r="AB35" s="31">
        <v>0.01873928016299561</v>
      </c>
      <c r="AC35" s="31">
        <v>0.01900645291193977</v>
      </c>
      <c r="AD35" s="31">
        <v>0.018257026469357146</v>
      </c>
      <c r="AE35" s="31">
        <v>0.01906706081629272</v>
      </c>
      <c r="AF35" s="31">
        <v>0.01758905196703427</v>
      </c>
      <c r="AG35" s="31">
        <v>0.01781024634751029</v>
      </c>
      <c r="AH35" s="31">
        <v>0.015276016583156315</v>
      </c>
      <c r="AI35" s="31">
        <v>0.01341753589076768</v>
      </c>
      <c r="AJ35" s="31">
        <v>0.011989997587589195</v>
      </c>
      <c r="AK35" s="31">
        <v>0.01138693103864517</v>
      </c>
      <c r="AL35" s="31">
        <v>0.010838575565527088</v>
      </c>
      <c r="AM35" s="31">
        <v>0.010185047089602479</v>
      </c>
      <c r="AN35" s="31">
        <v>0.010454216846284841</v>
      </c>
      <c r="AO35" s="31">
        <v>0.01021747591929939</v>
      </c>
      <c r="AP35" s="31">
        <v>0.010422185441989121</v>
      </c>
      <c r="AQ35" s="31">
        <v>0.01034763626527976</v>
      </c>
      <c r="AR35" s="31">
        <v>0.009750549487880508</v>
      </c>
      <c r="AS35" s="31">
        <v>0.009970571892000004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1">J36</f>
        <v>0.01964870549</v>
      </c>
      <c r="G36" s="55">
        <f t="shared" si="31"/>
        <v>0.0171598057</v>
      </c>
      <c r="H36" s="32">
        <f t="shared" si="25"/>
        <v>0.1450424224</v>
      </c>
      <c r="I36" s="30"/>
      <c r="J36" s="40">
        <v>0.019648705485018052</v>
      </c>
      <c r="K36" s="40">
        <v>0.017159805698545205</v>
      </c>
      <c r="L36" s="40">
        <v>0.014670929298138374</v>
      </c>
      <c r="M36" s="40">
        <v>0.010986426629896061</v>
      </c>
      <c r="N36" s="40">
        <v>0.005420692264488528</v>
      </c>
      <c r="O36" s="40">
        <v>0.004226100568189069</v>
      </c>
      <c r="P36" s="40">
        <v>0.004288975035714199</v>
      </c>
      <c r="Q36" s="40">
        <v>0.002311028701521993</v>
      </c>
      <c r="R36" s="40">
        <v>8.771994331832132E-4</v>
      </c>
      <c r="S36" s="40">
        <v>2.546581639392863E-4</v>
      </c>
      <c r="T36" s="40">
        <v>1.9117162211845562E-7</v>
      </c>
      <c r="U36" s="40">
        <v>0.0</v>
      </c>
      <c r="V36" s="40">
        <v>0.0</v>
      </c>
      <c r="W36" s="40">
        <v>0.0</v>
      </c>
      <c r="X36" s="31">
        <v>0.0</v>
      </c>
      <c r="Y36" s="31">
        <v>0.0</v>
      </c>
      <c r="Z36" s="31">
        <v>0.0</v>
      </c>
      <c r="AA36" s="31">
        <v>0.0</v>
      </c>
      <c r="AB36" s="31">
        <v>0.0</v>
      </c>
      <c r="AC36" s="31">
        <v>0.0</v>
      </c>
      <c r="AD36" s="31">
        <v>0.0</v>
      </c>
      <c r="AE36" s="31">
        <v>0.0</v>
      </c>
      <c r="AF36" s="31">
        <v>0.0</v>
      </c>
      <c r="AG36" s="31">
        <v>0.0</v>
      </c>
      <c r="AH36" s="31">
        <v>0.0</v>
      </c>
      <c r="AI36" s="31">
        <v>0.0</v>
      </c>
      <c r="AJ36" s="31">
        <v>0.0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2">J37</f>
        <v>0.2707131292</v>
      </c>
      <c r="G37" s="55">
        <f t="shared" si="32"/>
        <v>0.2820152407</v>
      </c>
      <c r="H37" s="56">
        <f t="shared" si="25"/>
        <v>-0.04007624367</v>
      </c>
      <c r="I37" s="30"/>
      <c r="J37" s="40">
        <v>0.27071312922907953</v>
      </c>
      <c r="K37" s="40">
        <v>0.2820152407359744</v>
      </c>
      <c r="L37" s="40">
        <v>0.27665283655525036</v>
      </c>
      <c r="M37" s="40">
        <v>0.30353345303179663</v>
      </c>
      <c r="N37" s="40">
        <v>0.27857325604904903</v>
      </c>
      <c r="O37" s="40">
        <v>0.27568084126525305</v>
      </c>
      <c r="P37" s="40">
        <v>0.2901284010265801</v>
      </c>
      <c r="Q37" s="40">
        <v>0.27273285294495503</v>
      </c>
      <c r="R37" s="40">
        <v>0.27404985466995707</v>
      </c>
      <c r="S37" s="40">
        <v>0.278381615764685</v>
      </c>
      <c r="T37" s="40">
        <v>0.28177229175304813</v>
      </c>
      <c r="U37" s="40">
        <v>0.2884932018569387</v>
      </c>
      <c r="V37" s="40">
        <v>0.29173231307005654</v>
      </c>
      <c r="W37" s="40">
        <v>0.3022030850078124</v>
      </c>
      <c r="X37" s="31">
        <v>0.2985734494819116</v>
      </c>
      <c r="Y37" s="31">
        <v>0.31379635950020246</v>
      </c>
      <c r="Z37" s="31">
        <v>0.31556525402748203</v>
      </c>
      <c r="AA37" s="31">
        <v>0.31108008796624026</v>
      </c>
      <c r="AB37" s="31">
        <v>0.3001491123306253</v>
      </c>
      <c r="AC37" s="31">
        <v>0.29332990929529434</v>
      </c>
      <c r="AD37" s="31">
        <v>0.29496157009247675</v>
      </c>
      <c r="AE37" s="31">
        <v>0.2955961007194485</v>
      </c>
      <c r="AF37" s="31">
        <v>0.28547406946478704</v>
      </c>
      <c r="AG37" s="31">
        <v>0.2901093320912776</v>
      </c>
      <c r="AH37" s="31">
        <v>0.29157085948099254</v>
      </c>
      <c r="AI37" s="31">
        <v>0.2987792390093581</v>
      </c>
      <c r="AJ37" s="31">
        <v>0.29054171329204775</v>
      </c>
      <c r="AK37" s="31">
        <v>0.29517777165420767</v>
      </c>
      <c r="AL37" s="31">
        <v>0.31762693102546974</v>
      </c>
      <c r="AM37" s="31">
        <v>0.32474885910295564</v>
      </c>
      <c r="AN37" s="31">
        <v>0.3258120194360449</v>
      </c>
      <c r="AO37" s="31">
        <v>0.3194018461052101</v>
      </c>
      <c r="AP37" s="31">
        <v>0.3172493232872051</v>
      </c>
      <c r="AQ37" s="31">
        <v>0.32249254180989345</v>
      </c>
      <c r="AR37" s="31">
        <v>0.3191355243314147</v>
      </c>
      <c r="AS37" s="31">
        <v>0.31272890238707074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3">J40</f>
        <v>1</v>
      </c>
      <c r="G40" s="55">
        <f t="shared" si="33"/>
        <v>1</v>
      </c>
      <c r="H40" s="32">
        <f t="shared" ref="H40:H48" si="35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>
        <v>1.0</v>
      </c>
      <c r="AO40" s="31">
        <v>1.0</v>
      </c>
      <c r="AP40" s="31">
        <v>1.0</v>
      </c>
      <c r="AQ40" s="31">
        <v>1.0</v>
      </c>
      <c r="AR40" s="31">
        <v>1.0</v>
      </c>
      <c r="AS40" s="31">
        <v>1.0</v>
      </c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4">J41</f>
        <v>0.585027285</v>
      </c>
      <c r="G41" s="55">
        <f t="shared" si="34"/>
        <v>0.5492841109</v>
      </c>
      <c r="H41" s="32">
        <f t="shared" si="35"/>
        <v>0.0650722885</v>
      </c>
      <c r="I41" s="30"/>
      <c r="J41" s="40">
        <v>0.585027285040073</v>
      </c>
      <c r="K41" s="40">
        <v>0.5492841109045964</v>
      </c>
      <c r="L41" s="40">
        <v>0.5652547374103946</v>
      </c>
      <c r="M41" s="40">
        <v>0.5669757836798722</v>
      </c>
      <c r="N41" s="40">
        <v>0.5877356616065029</v>
      </c>
      <c r="O41" s="40">
        <v>0.6222506328013696</v>
      </c>
      <c r="P41" s="40">
        <v>0.6151933666569754</v>
      </c>
      <c r="Q41" s="40">
        <v>0.6134681400128893</v>
      </c>
      <c r="R41" s="40">
        <v>0.598813795485391</v>
      </c>
      <c r="S41" s="40">
        <v>0.5851580798374154</v>
      </c>
      <c r="T41" s="40">
        <v>0.5822017777489528</v>
      </c>
      <c r="U41" s="40">
        <v>0.5555124170112045</v>
      </c>
      <c r="V41" s="40">
        <v>0.5863847650119227</v>
      </c>
      <c r="W41" s="40">
        <v>0.5782009921957748</v>
      </c>
      <c r="X41" s="31">
        <v>0.6023553869178323</v>
      </c>
      <c r="Y41" s="31">
        <v>0.626248142510811</v>
      </c>
      <c r="Z41" s="31">
        <v>0.6304927235308566</v>
      </c>
      <c r="AA41" s="31">
        <v>0.6313933655733461</v>
      </c>
      <c r="AB41" s="31">
        <v>0.6367814095559489</v>
      </c>
      <c r="AC41" s="31">
        <v>0.641726347668223</v>
      </c>
      <c r="AD41" s="31">
        <v>0.6371930712224355</v>
      </c>
      <c r="AE41" s="31">
        <v>0.6475077774289002</v>
      </c>
      <c r="AF41" s="31">
        <v>0.6334004796720188</v>
      </c>
      <c r="AG41" s="31">
        <v>0.627746589851628</v>
      </c>
      <c r="AH41" s="31">
        <v>0.631325851720247</v>
      </c>
      <c r="AI41" s="31">
        <v>0.6329821915372328</v>
      </c>
      <c r="AJ41" s="31">
        <v>0.6469490318348065</v>
      </c>
      <c r="AK41" s="31">
        <v>0.6368060417482959</v>
      </c>
      <c r="AL41" s="31">
        <v>0.6466101998528733</v>
      </c>
      <c r="AM41" s="31">
        <v>0.6584738984120995</v>
      </c>
      <c r="AN41" s="31">
        <v>0.6596371792134511</v>
      </c>
      <c r="AO41" s="31">
        <v>0.6800562498007499</v>
      </c>
      <c r="AP41" s="31">
        <v>0.6763690117930702</v>
      </c>
      <c r="AQ41" s="31">
        <v>0.6795231872267519</v>
      </c>
      <c r="AR41" s="31">
        <v>0.6671176569845221</v>
      </c>
      <c r="AS41" s="31">
        <v>0.66756509767561</v>
      </c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6">J42</f>
        <v>0.1402888521</v>
      </c>
      <c r="G42" s="55">
        <f t="shared" si="36"/>
        <v>0.1480307937</v>
      </c>
      <c r="H42" s="32">
        <f t="shared" si="35"/>
        <v>-0.05229953448</v>
      </c>
      <c r="I42" s="30"/>
      <c r="J42" s="40">
        <v>0.14028885208204744</v>
      </c>
      <c r="K42" s="40">
        <v>0.14803079368058877</v>
      </c>
      <c r="L42" s="40">
        <v>0.13604207331025733</v>
      </c>
      <c r="M42" s="40">
        <v>0.12848060011302914</v>
      </c>
      <c r="N42" s="40">
        <v>0.12086596733877063</v>
      </c>
      <c r="O42" s="40">
        <v>0.1061049637683634</v>
      </c>
      <c r="P42" s="40">
        <v>0.10902489685455787</v>
      </c>
      <c r="Q42" s="40">
        <v>0.09494067051025046</v>
      </c>
      <c r="R42" s="40">
        <v>0.0988650070970733</v>
      </c>
      <c r="S42" s="40">
        <v>0.1033251922764453</v>
      </c>
      <c r="T42" s="40">
        <v>0.1031484125142788</v>
      </c>
      <c r="U42" s="40">
        <v>0.10762557797938244</v>
      </c>
      <c r="V42" s="40">
        <v>0.06753875873314323</v>
      </c>
      <c r="W42" s="40">
        <v>0.07209558854399552</v>
      </c>
      <c r="X42" s="31">
        <v>0.06344845131330379</v>
      </c>
      <c r="Y42" s="31">
        <v>0.062354284122880035</v>
      </c>
      <c r="Z42" s="31">
        <v>0.06181602250024793</v>
      </c>
      <c r="AA42" s="31">
        <v>0.06157868802157634</v>
      </c>
      <c r="AB42" s="31">
        <v>0.05608547122705004</v>
      </c>
      <c r="AC42" s="31">
        <v>0.0563431598551134</v>
      </c>
      <c r="AD42" s="31">
        <v>0.059281433629843935</v>
      </c>
      <c r="AE42" s="31">
        <v>0.059799680802638824</v>
      </c>
      <c r="AF42" s="31">
        <v>0.06503744912608303</v>
      </c>
      <c r="AG42" s="31">
        <v>0.06764648921813114</v>
      </c>
      <c r="AH42" s="31">
        <v>0.06993103575478236</v>
      </c>
      <c r="AI42" s="31">
        <v>0.07689476582772886</v>
      </c>
      <c r="AJ42" s="31">
        <v>0.0706503877287378</v>
      </c>
      <c r="AK42" s="31">
        <v>0.07021066609859987</v>
      </c>
      <c r="AL42" s="31">
        <v>0.06924323703913518</v>
      </c>
      <c r="AM42" s="31">
        <v>0.0711607561517633</v>
      </c>
      <c r="AN42" s="31">
        <v>0.07676384751526331</v>
      </c>
      <c r="AO42" s="31">
        <v>0.0810955205472831</v>
      </c>
      <c r="AP42" s="31">
        <v>0.08221589931772962</v>
      </c>
      <c r="AQ42" s="31">
        <v>0.08546117822265879</v>
      </c>
      <c r="AR42" s="31">
        <v>0.08280493967957253</v>
      </c>
      <c r="AS42" s="31">
        <v>0.09287031117226721</v>
      </c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37">J43</f>
        <v>0.1763760869</v>
      </c>
      <c r="G43" s="55">
        <f t="shared" si="37"/>
        <v>0.1933744964</v>
      </c>
      <c r="H43" s="32">
        <f t="shared" si="35"/>
        <v>-0.08790409189</v>
      </c>
      <c r="I43" s="30"/>
      <c r="J43" s="40">
        <v>0.17637608691348047</v>
      </c>
      <c r="K43" s="40">
        <v>0.1933744964163414</v>
      </c>
      <c r="L43" s="40">
        <v>0.19556662391964402</v>
      </c>
      <c r="M43" s="40">
        <v>0.19378765028608078</v>
      </c>
      <c r="N43" s="40">
        <v>0.21157561149977336</v>
      </c>
      <c r="O43" s="40">
        <v>0.1903608148553415</v>
      </c>
      <c r="P43" s="40">
        <v>0.1882485416792332</v>
      </c>
      <c r="Q43" s="40">
        <v>0.20019182042345646</v>
      </c>
      <c r="R43" s="40">
        <v>0.19523245075135176</v>
      </c>
      <c r="S43" s="40">
        <v>0.19727098428660786</v>
      </c>
      <c r="T43" s="40">
        <v>0.20267121427533363</v>
      </c>
      <c r="U43" s="40">
        <v>0.22379575344307184</v>
      </c>
      <c r="V43" s="40">
        <v>0.23928611161502275</v>
      </c>
      <c r="W43" s="40">
        <v>0.2296502962843738</v>
      </c>
      <c r="X43" s="31">
        <v>0.21016666196350378</v>
      </c>
      <c r="Y43" s="31">
        <v>0.1917913462177609</v>
      </c>
      <c r="Z43" s="31">
        <v>0.18937769183291</v>
      </c>
      <c r="AA43" s="31">
        <v>0.18691579142726866</v>
      </c>
      <c r="AB43" s="31">
        <v>0.18610917750325126</v>
      </c>
      <c r="AC43" s="31">
        <v>0.180993591277106</v>
      </c>
      <c r="AD43" s="31">
        <v>0.18790274241628685</v>
      </c>
      <c r="AE43" s="31">
        <v>0.18490234051667231</v>
      </c>
      <c r="AF43" s="31">
        <v>0.17823540252506948</v>
      </c>
      <c r="AG43" s="31">
        <v>0.1909050812955617</v>
      </c>
      <c r="AH43" s="31">
        <v>0.1939524763410365</v>
      </c>
      <c r="AI43" s="31">
        <v>0.19146252380132311</v>
      </c>
      <c r="AJ43" s="31">
        <v>0.17589941834235398</v>
      </c>
      <c r="AK43" s="31">
        <v>0.17777885856713924</v>
      </c>
      <c r="AL43" s="31">
        <v>0.17064166645996004</v>
      </c>
      <c r="AM43" s="31">
        <v>0.17604110357369837</v>
      </c>
      <c r="AN43" s="31">
        <v>0.17449719767949337</v>
      </c>
      <c r="AO43" s="31">
        <v>0.17318154932614127</v>
      </c>
      <c r="AP43" s="31">
        <v>0.18021257345944577</v>
      </c>
      <c r="AQ43" s="31">
        <v>0.17577230024344748</v>
      </c>
      <c r="AR43" s="31">
        <v>0.19125164110913673</v>
      </c>
      <c r="AS43" s="31">
        <v>0.19243440908030976</v>
      </c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38">J44</f>
        <v>0.03839859546</v>
      </c>
      <c r="G44" s="55">
        <f t="shared" si="38"/>
        <v>0.04642207767</v>
      </c>
      <c r="H44" s="32">
        <f t="shared" si="35"/>
        <v>-0.172837637</v>
      </c>
      <c r="I44" s="30"/>
      <c r="J44" s="40">
        <v>0.03839859545917364</v>
      </c>
      <c r="K44" s="40">
        <v>0.04642207766897609</v>
      </c>
      <c r="L44" s="40">
        <v>0.04418290867046635</v>
      </c>
      <c r="M44" s="40">
        <v>0.05059335237477867</v>
      </c>
      <c r="N44" s="40">
        <v>0.016722367519085735</v>
      </c>
      <c r="O44" s="40">
        <v>0.017917587866116778</v>
      </c>
      <c r="P44" s="40">
        <v>0.027161090945033384</v>
      </c>
      <c r="Q44" s="40">
        <v>0.02924986625328396</v>
      </c>
      <c r="R44" s="40">
        <v>0.044259201582917594</v>
      </c>
      <c r="S44" s="40">
        <v>0.049078300798347345</v>
      </c>
      <c r="T44" s="40">
        <v>0.04800895800577896</v>
      </c>
      <c r="U44" s="40">
        <v>0.05325398816852207</v>
      </c>
      <c r="V44" s="40">
        <v>0.04607014749893489</v>
      </c>
      <c r="W44" s="40">
        <v>0.05739908979316863</v>
      </c>
      <c r="X44" s="31">
        <v>0.06234700217693095</v>
      </c>
      <c r="Y44" s="31">
        <v>0.06036200544948777</v>
      </c>
      <c r="Z44" s="31">
        <v>0.06521698753913267</v>
      </c>
      <c r="AA44" s="31">
        <v>0.07140464549805928</v>
      </c>
      <c r="AB44" s="31">
        <v>0.07403512999672474</v>
      </c>
      <c r="AC44" s="31">
        <v>0.075548742836666</v>
      </c>
      <c r="AD44" s="31">
        <v>0.07201323492045711</v>
      </c>
      <c r="AE44" s="31">
        <v>0.0685596778080366</v>
      </c>
      <c r="AF44" s="31">
        <v>0.08274813220076886</v>
      </c>
      <c r="AG44" s="31">
        <v>0.0747375048979593</v>
      </c>
      <c r="AH44" s="31">
        <v>0.06731534702215221</v>
      </c>
      <c r="AI44" s="31">
        <v>0.05910224001440584</v>
      </c>
      <c r="AJ44" s="31">
        <v>0.06770370679587968</v>
      </c>
      <c r="AK44" s="31">
        <v>0.07523001899088615</v>
      </c>
      <c r="AL44" s="31">
        <v>0.07457921000110455</v>
      </c>
      <c r="AM44" s="31">
        <v>0.05850382707917559</v>
      </c>
      <c r="AN44" s="31">
        <v>0.05689762051528932</v>
      </c>
      <c r="AO44" s="31">
        <v>0.03468557063499621</v>
      </c>
      <c r="AP44" s="31">
        <v>0.03225813816266873</v>
      </c>
      <c r="AQ44" s="31">
        <v>0.0315233726695945</v>
      </c>
      <c r="AR44" s="31">
        <v>0.03140368166444716</v>
      </c>
      <c r="AS44" s="31">
        <v>0.02145324755844128</v>
      </c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39">J45</f>
        <v>0.04407470182</v>
      </c>
      <c r="G45" s="55">
        <f t="shared" si="39"/>
        <v>0.04635974865</v>
      </c>
      <c r="H45" s="32">
        <f t="shared" si="35"/>
        <v>-0.04928945688</v>
      </c>
      <c r="I45" s="30"/>
      <c r="J45" s="40">
        <v>0.044074701815989104</v>
      </c>
      <c r="K45" s="40">
        <v>0.04635974864797596</v>
      </c>
      <c r="L45" s="40">
        <v>0.04649397699106376</v>
      </c>
      <c r="M45" s="40">
        <v>0.04740036343528808</v>
      </c>
      <c r="N45" s="40">
        <v>0.05173562997719827</v>
      </c>
      <c r="O45" s="40">
        <v>0.05039667641885278</v>
      </c>
      <c r="P45" s="40">
        <v>0.04975109982284114</v>
      </c>
      <c r="Q45" s="40">
        <v>0.05185043657247178</v>
      </c>
      <c r="R45" s="40">
        <v>0.05178860565207388</v>
      </c>
      <c r="S45" s="40">
        <v>0.052107678851232686</v>
      </c>
      <c r="T45" s="40">
        <v>0.0534545304832216</v>
      </c>
      <c r="U45" s="40">
        <v>0.048929614208756814</v>
      </c>
      <c r="V45" s="40">
        <v>0.048266528821750476</v>
      </c>
      <c r="W45" s="40">
        <v>0.048589855075186074</v>
      </c>
      <c r="X45" s="31">
        <v>0.04963574411360346</v>
      </c>
      <c r="Y45" s="31">
        <v>0.051012529297704584</v>
      </c>
      <c r="Z45" s="31">
        <v>0.047545672200004746</v>
      </c>
      <c r="AA45" s="31">
        <v>0.044541194350341366</v>
      </c>
      <c r="AB45" s="31">
        <v>0.04365732213071467</v>
      </c>
      <c r="AC45" s="31">
        <v>0.0438577184249543</v>
      </c>
      <c r="AD45" s="31">
        <v>0.04323328019691548</v>
      </c>
      <c r="AE45" s="31">
        <v>0.03923052344375181</v>
      </c>
      <c r="AF45" s="31">
        <v>0.04057852338837906</v>
      </c>
      <c r="AG45" s="31">
        <v>0.0389641950907289</v>
      </c>
      <c r="AH45" s="31">
        <v>0.037472488446376934</v>
      </c>
      <c r="AI45" s="31">
        <v>0.03864573262026811</v>
      </c>
      <c r="AJ45" s="31">
        <v>0.038797108593510835</v>
      </c>
      <c r="AK45" s="31">
        <v>0.039974392273838685</v>
      </c>
      <c r="AL45" s="31">
        <v>0.03892568664692728</v>
      </c>
      <c r="AM45" s="31">
        <v>0.03582041478326301</v>
      </c>
      <c r="AN45" s="31">
        <v>0.03220415507650288</v>
      </c>
      <c r="AO45" s="31">
        <v>0.03098110969082953</v>
      </c>
      <c r="AP45" s="31">
        <v>0.028944377267085437</v>
      </c>
      <c r="AQ45" s="31">
        <v>0.027719961637547568</v>
      </c>
      <c r="AR45" s="31">
        <v>0.027422080562321295</v>
      </c>
      <c r="AS45" s="31">
        <v>0.02567693451337207</v>
      </c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40">J46</f>
        <v>0.006502368207</v>
      </c>
      <c r="G46" s="55">
        <f t="shared" si="40"/>
        <v>0.007818948654</v>
      </c>
      <c r="H46" s="32">
        <f t="shared" si="35"/>
        <v>-0.168383309</v>
      </c>
      <c r="I46" s="30"/>
      <c r="J46" s="40">
        <v>0.0065023682068977365</v>
      </c>
      <c r="K46" s="40">
        <v>0.00781894865420139</v>
      </c>
      <c r="L46" s="40">
        <v>0.007509408563844931</v>
      </c>
      <c r="M46" s="40">
        <v>0.007493472424486562</v>
      </c>
      <c r="N46" s="40">
        <v>0.008369392735922108</v>
      </c>
      <c r="O46" s="40">
        <v>0.008221010003380665</v>
      </c>
      <c r="P46" s="40">
        <v>0.007500708598008941</v>
      </c>
      <c r="Q46" s="40">
        <v>0.008468868381006373</v>
      </c>
      <c r="R46" s="40">
        <v>0.008999745391081648</v>
      </c>
      <c r="S46" s="40">
        <v>0.01001728233184911</v>
      </c>
      <c r="T46" s="40">
        <v>0.007797654556575243</v>
      </c>
      <c r="U46" s="40">
        <v>0.007877223856172946</v>
      </c>
      <c r="V46" s="40">
        <v>0.008782578734561026</v>
      </c>
      <c r="W46" s="40">
        <v>0.009163288263409796</v>
      </c>
      <c r="X46" s="31">
        <v>0.008682936015966756</v>
      </c>
      <c r="Y46" s="31">
        <v>0.008132491032652038</v>
      </c>
      <c r="Z46" s="31">
        <v>0.005550902230376468</v>
      </c>
      <c r="AA46" s="31">
        <v>0.004166278928089268</v>
      </c>
      <c r="AB46" s="31">
        <v>0.0033314895863107256</v>
      </c>
      <c r="AC46" s="31">
        <v>0.0015304399379372944</v>
      </c>
      <c r="AD46" s="31">
        <v>3.7623761406111323E-4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>
        <v>0.0</v>
      </c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1">J47</f>
        <v>0.0004839696596</v>
      </c>
      <c r="G47" s="55">
        <f t="shared" si="41"/>
        <v>0.0002539779311</v>
      </c>
      <c r="H47" s="32">
        <f t="shared" si="35"/>
        <v>0.9055579263</v>
      </c>
      <c r="I47" s="30"/>
      <c r="J47" s="40">
        <v>4.839696596450686E-4</v>
      </c>
      <c r="K47" s="40">
        <v>2.5397793106245333E-4</v>
      </c>
      <c r="L47" s="40">
        <v>1.1119820100519703E-4</v>
      </c>
      <c r="M47" s="40">
        <v>4.535465521106104E-5</v>
      </c>
      <c r="N47" s="40">
        <v>1.390033259069234E-5</v>
      </c>
      <c r="O47" s="40">
        <v>7.345358638436575E-6</v>
      </c>
      <c r="P47" s="40">
        <v>3.8283219353577485E-6</v>
      </c>
      <c r="Q47" s="40">
        <v>0.0</v>
      </c>
      <c r="R47" s="40">
        <v>0.0</v>
      </c>
      <c r="S47" s="40">
        <v>0.0</v>
      </c>
      <c r="T47" s="40">
        <v>0.0</v>
      </c>
      <c r="U47" s="40">
        <v>0.0</v>
      </c>
      <c r="V47" s="40">
        <v>0.0</v>
      </c>
      <c r="W47" s="40">
        <v>0.0</v>
      </c>
      <c r="X47" s="31">
        <v>0.0</v>
      </c>
      <c r="Y47" s="31">
        <v>0.0</v>
      </c>
      <c r="Z47" s="31">
        <v>0.0</v>
      </c>
      <c r="AA47" s="31">
        <v>0.0</v>
      </c>
      <c r="AB47" s="31">
        <v>0.0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2">J48</f>
        <v>0.008848140823</v>
      </c>
      <c r="G48" s="55">
        <f t="shared" si="42"/>
        <v>0.008455846096</v>
      </c>
      <c r="H48" s="32">
        <f t="shared" si="35"/>
        <v>0.0463933144</v>
      </c>
      <c r="I48" s="30"/>
      <c r="J48" s="40">
        <v>0.008848140822693574</v>
      </c>
      <c r="K48" s="40">
        <v>0.008455846096257576</v>
      </c>
      <c r="L48" s="40">
        <v>0.004839072933323828</v>
      </c>
      <c r="M48" s="40">
        <v>0.005223423031253456</v>
      </c>
      <c r="N48" s="40">
        <v>0.0029814689901562653</v>
      </c>
      <c r="O48" s="40">
        <v>0.0047409689279367655</v>
      </c>
      <c r="P48" s="40">
        <v>0.003116467121414693</v>
      </c>
      <c r="Q48" s="40">
        <v>0.0018301978466416383</v>
      </c>
      <c r="R48" s="40">
        <v>0.002041194040110759</v>
      </c>
      <c r="S48" s="40">
        <v>0.0030424816181023294</v>
      </c>
      <c r="T48" s="40">
        <v>0.002717452415859024</v>
      </c>
      <c r="U48" s="40">
        <v>0.0030054253328893736</v>
      </c>
      <c r="V48" s="40">
        <v>0.003671109584664951</v>
      </c>
      <c r="W48" s="40">
        <v>0.004900889844091296</v>
      </c>
      <c r="X48" s="31">
        <v>0.003363817498859</v>
      </c>
      <c r="Y48" s="31">
        <v>9.920136870373497E-5</v>
      </c>
      <c r="Z48" s="31">
        <v>1.6647152607329752E-10</v>
      </c>
      <c r="AA48" s="31">
        <v>3.6201318990600006E-8</v>
      </c>
      <c r="AB48" s="31">
        <v>-2.769313271933156E-16</v>
      </c>
      <c r="AC48" s="31">
        <v>-1.9343643705711818E-17</v>
      </c>
      <c r="AD48" s="31">
        <v>-6.094618809804953E-17</v>
      </c>
      <c r="AE48" s="31">
        <v>3.264300511590722E-16</v>
      </c>
      <c r="AF48" s="31">
        <v>1.308768070297616E-8</v>
      </c>
      <c r="AG48" s="31">
        <v>1.3964599091271026E-7</v>
      </c>
      <c r="AH48" s="31">
        <v>2.800715405055084E-6</v>
      </c>
      <c r="AI48" s="31">
        <v>9.125461990412407E-4</v>
      </c>
      <c r="AJ48" s="31">
        <v>3.467047112249955E-7</v>
      </c>
      <c r="AK48" s="31">
        <v>2.232124018066165E-8</v>
      </c>
      <c r="AL48" s="31">
        <v>-3.2971133510208777E-16</v>
      </c>
      <c r="AM48" s="31">
        <v>2.402234537622424E-16</v>
      </c>
      <c r="AN48" s="31">
        <v>-1.1529583330508497E-17</v>
      </c>
      <c r="AO48" s="31">
        <v>6.062627062504148E-17</v>
      </c>
      <c r="AP48" s="31">
        <v>2.8093931428192034E-16</v>
      </c>
      <c r="AQ48" s="31">
        <v>-1.8431277071063413E-16</v>
      </c>
      <c r="AR48" s="31">
        <v>2.0652232592160561E-16</v>
      </c>
      <c r="AS48" s="31">
        <v>-2.8169738266791703E-16</v>
      </c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>
        <f t="shared" ref="F51:G51" si="43">J51</f>
        <v>1</v>
      </c>
      <c r="G51" s="55">
        <f t="shared" si="43"/>
        <v>1</v>
      </c>
      <c r="H51" s="32">
        <f t="shared" ref="H51:H57" si="45">IFERROR(F51/G51-1,"-")</f>
        <v>0</v>
      </c>
      <c r="J51" s="58">
        <v>1.0</v>
      </c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  <c r="AD51" s="59">
        <v>1.0</v>
      </c>
    </row>
    <row r="52">
      <c r="C52" s="60" t="s">
        <v>44</v>
      </c>
      <c r="D52" s="39" t="s">
        <v>10</v>
      </c>
      <c r="F52" s="55">
        <f t="shared" ref="F52:G52" si="44">J52</f>
        <v>0.0289141074</v>
      </c>
      <c r="G52" s="55">
        <f t="shared" si="44"/>
        <v>0.03209547063</v>
      </c>
      <c r="H52" s="32">
        <f t="shared" si="45"/>
        <v>-0.09912187517</v>
      </c>
      <c r="J52" s="58">
        <v>0.0289141073981473</v>
      </c>
      <c r="K52" s="58">
        <v>0.032095470631703</v>
      </c>
      <c r="L52" s="58">
        <v>0.0325893249033226</v>
      </c>
      <c r="M52" s="58">
        <v>0.0316270029652627</v>
      </c>
      <c r="N52" s="58">
        <v>0.0333600047144718</v>
      </c>
      <c r="O52" s="58">
        <v>0.0344020290151899</v>
      </c>
      <c r="P52" s="58">
        <v>0.0333238298174923</v>
      </c>
      <c r="Q52" s="58">
        <v>0.0351659146212897</v>
      </c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31">
        <v>0.0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  <c r="AD52" s="59">
        <v>0.0</v>
      </c>
    </row>
    <row r="53">
      <c r="C53" s="60" t="s">
        <v>45</v>
      </c>
      <c r="D53" s="39" t="s">
        <v>10</v>
      </c>
      <c r="F53" s="55">
        <f t="shared" ref="F53:G53" si="46">J53</f>
        <v>0.00002698533217</v>
      </c>
      <c r="G53" s="55">
        <f t="shared" si="46"/>
        <v>0.00004849069055</v>
      </c>
      <c r="H53" s="32">
        <f t="shared" si="45"/>
        <v>-0.4434945788</v>
      </c>
      <c r="J53" s="58">
        <v>2.69853321664618E-5</v>
      </c>
      <c r="K53" s="58">
        <v>4.84906905453608E-5</v>
      </c>
      <c r="L53" s="58">
        <v>5.29476542011939E-5</v>
      </c>
      <c r="M53" s="58">
        <v>7.91201717526347E-5</v>
      </c>
      <c r="N53" s="58">
        <v>2.27313187387698E-4</v>
      </c>
      <c r="O53" s="58">
        <v>1.59862024119212E-4</v>
      </c>
      <c r="P53" s="58">
        <v>9.66879192753951E-5</v>
      </c>
      <c r="Q53" s="58">
        <v>4.67096108612776E-5</v>
      </c>
      <c r="R53" s="58">
        <v>0.0</v>
      </c>
      <c r="S53" s="58">
        <v>0.0</v>
      </c>
      <c r="T53" s="58">
        <v>0.0</v>
      </c>
      <c r="U53" s="58">
        <v>0.0</v>
      </c>
      <c r="V53" s="58">
        <v>0.0</v>
      </c>
      <c r="W53" s="58">
        <v>0.0</v>
      </c>
      <c r="X53" s="31">
        <v>0.0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  <c r="AD53" s="59">
        <v>0.0</v>
      </c>
    </row>
    <row r="54">
      <c r="C54" s="60" t="s">
        <v>46</v>
      </c>
      <c r="D54" s="39" t="s">
        <v>10</v>
      </c>
      <c r="F54" s="55">
        <f t="shared" ref="F54:G54" si="47">J54</f>
        <v>0.0004870102431</v>
      </c>
      <c r="G54" s="55">
        <f t="shared" si="47"/>
        <v>0.0004581347414</v>
      </c>
      <c r="H54" s="32">
        <f t="shared" si="45"/>
        <v>0.06302840427</v>
      </c>
      <c r="J54" s="58">
        <v>4.87010243122881E-4</v>
      </c>
      <c r="K54" s="58">
        <v>4.58134741429018E-4</v>
      </c>
      <c r="L54" s="58">
        <v>5.10709850152943E-4</v>
      </c>
      <c r="M54" s="58">
        <v>5.41881219760342E-4</v>
      </c>
      <c r="N54" s="58">
        <v>6.23155108080459E-4</v>
      </c>
      <c r="O54" s="58">
        <v>6.30860482914459E-4</v>
      </c>
      <c r="P54" s="58">
        <v>6.07042725751316E-4</v>
      </c>
      <c r="Q54" s="58">
        <v>7.42610641198964E-4</v>
      </c>
      <c r="R54" s="58">
        <v>9.06321368116373E-4</v>
      </c>
      <c r="S54" s="58">
        <v>6.53016615903827E-4</v>
      </c>
      <c r="T54" s="58">
        <v>8.31170718799925E-4</v>
      </c>
      <c r="U54" s="58">
        <v>6.92094384582392E-4</v>
      </c>
      <c r="V54" s="58">
        <v>5.35921609260271E-4</v>
      </c>
      <c r="W54" s="58">
        <v>6.47428252287977E-4</v>
      </c>
      <c r="X54" s="31">
        <v>8.15268924291306E-4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  <c r="AD54" s="59">
        <v>0.0</v>
      </c>
    </row>
    <row r="55">
      <c r="C55" s="60" t="s">
        <v>47</v>
      </c>
      <c r="D55" s="39" t="s">
        <v>10</v>
      </c>
      <c r="F55" s="55">
        <f t="shared" ref="F55:G55" si="48">J55</f>
        <v>0.02215385197</v>
      </c>
      <c r="G55" s="55">
        <f t="shared" si="48"/>
        <v>0.02305759064</v>
      </c>
      <c r="H55" s="32">
        <f t="shared" si="45"/>
        <v>-0.03919484417</v>
      </c>
      <c r="J55" s="58">
        <v>0.0221538519673206</v>
      </c>
      <c r="K55" s="58">
        <v>0.0230575906394512</v>
      </c>
      <c r="L55" s="58">
        <v>0.0226633584787825</v>
      </c>
      <c r="M55" s="58">
        <v>0.0220838342938301</v>
      </c>
      <c r="N55" s="58">
        <v>0.0238038604376798</v>
      </c>
      <c r="O55" s="58">
        <v>0.0247049612718886</v>
      </c>
      <c r="P55" s="58">
        <v>0.0241456987640612</v>
      </c>
      <c r="Q55" s="58">
        <v>0.0260651650391118</v>
      </c>
      <c r="R55" s="58">
        <v>0.0267587693933366</v>
      </c>
      <c r="S55" s="58">
        <v>0.0271347791525402</v>
      </c>
      <c r="T55" s="58">
        <v>0.021934908113826</v>
      </c>
      <c r="U55" s="58">
        <v>0.0217014070203075</v>
      </c>
      <c r="V55" s="58">
        <v>0.0264815987911501</v>
      </c>
      <c r="W55" s="58">
        <v>0.0276704561768156</v>
      </c>
      <c r="X55" s="31">
        <v>0.0276341547739584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  <c r="AD55" s="59">
        <v>0.0</v>
      </c>
    </row>
    <row r="56">
      <c r="C56" s="60" t="s">
        <v>48</v>
      </c>
      <c r="D56" s="39" t="s">
        <v>10</v>
      </c>
      <c r="F56" s="55">
        <f t="shared" ref="F56:G56" si="49">J56</f>
        <v>0.006246259856</v>
      </c>
      <c r="G56" s="55">
        <f t="shared" si="49"/>
        <v>0.00853125456</v>
      </c>
      <c r="H56" s="32">
        <f t="shared" si="45"/>
        <v>-0.267838064</v>
      </c>
      <c r="J56" s="58">
        <v>0.00624625985553734</v>
      </c>
      <c r="K56" s="58">
        <v>0.00853125456027734</v>
      </c>
      <c r="L56" s="58">
        <v>0.00913679865613009</v>
      </c>
      <c r="M56" s="58">
        <v>0.00892216727991964</v>
      </c>
      <c r="N56" s="58">
        <v>0.00870567598132387</v>
      </c>
      <c r="O56" s="58">
        <v>0.00890634523626758</v>
      </c>
      <c r="P56" s="58">
        <v>0.00847440040840447</v>
      </c>
      <c r="Q56" s="58">
        <v>0.00808926303687153</v>
      </c>
      <c r="R56" s="58">
        <v>0.00842284581304075</v>
      </c>
      <c r="S56" s="58">
        <v>0.00819970101020121</v>
      </c>
      <c r="T56" s="58">
        <v>0.00768834651817721</v>
      </c>
      <c r="U56" s="58">
        <v>0.00820177143193624</v>
      </c>
      <c r="V56" s="58">
        <v>0.00824998575966086</v>
      </c>
      <c r="W56" s="58">
        <v>0.00922294464825544</v>
      </c>
      <c r="X56" s="31">
        <v>0.00824357669018879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  <c r="AD56" s="59">
        <v>0.0</v>
      </c>
    </row>
    <row r="57">
      <c r="C57" s="60" t="s">
        <v>49</v>
      </c>
      <c r="D57" s="39" t="s">
        <v>10</v>
      </c>
      <c r="F57" s="55">
        <f t="shared" ref="F57:G57" si="50">J57</f>
        <v>0.9710858926</v>
      </c>
      <c r="G57" s="55">
        <f t="shared" si="50"/>
        <v>0.9679045294</v>
      </c>
      <c r="H57" s="32">
        <f t="shared" si="45"/>
        <v>0.003286856438</v>
      </c>
      <c r="J57" s="58">
        <v>0.971085892601852</v>
      </c>
      <c r="K57" s="58">
        <v>0.967904529368297</v>
      </c>
      <c r="L57" s="58">
        <v>0.967410675096677</v>
      </c>
      <c r="M57" s="58">
        <v>0.968372997034737</v>
      </c>
      <c r="N57" s="58">
        <v>0.966639995285528</v>
      </c>
      <c r="O57" s="58">
        <v>0.96559797098481</v>
      </c>
      <c r="P57" s="58">
        <v>0.966676170182507</v>
      </c>
      <c r="Q57" s="58">
        <v>0.96483408537871</v>
      </c>
      <c r="R57" s="58">
        <v>1.0</v>
      </c>
      <c r="S57" s="58">
        <v>1.0</v>
      </c>
      <c r="T57" s="58">
        <v>1.0</v>
      </c>
      <c r="U57" s="58">
        <v>1.0</v>
      </c>
      <c r="V57" s="58">
        <v>1.0</v>
      </c>
      <c r="W57" s="58">
        <v>1.0</v>
      </c>
      <c r="X57" s="31">
        <v>1.0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  <c r="AD57" s="59">
        <v>1.0</v>
      </c>
    </row>
    <row r="58">
      <c r="D58" s="3"/>
      <c r="F58" s="4"/>
      <c r="G58" s="4"/>
      <c r="H58" s="5"/>
    </row>
    <row r="59">
      <c r="D59" s="3"/>
      <c r="F59" s="4"/>
      <c r="G59" s="4"/>
      <c r="H59" s="5"/>
    </row>
    <row r="60">
      <c r="C60" s="28" t="s">
        <v>37</v>
      </c>
      <c r="D60" s="79"/>
      <c r="E60" s="80"/>
      <c r="F60" s="81">
        <f t="shared" ref="F60:G60" si="51">F3</f>
        <v>45992</v>
      </c>
      <c r="G60" s="81">
        <f t="shared" si="51"/>
        <v>45962</v>
      </c>
      <c r="H60" s="82" t="s">
        <v>58</v>
      </c>
      <c r="K60" s="83">
        <v>45474.0</v>
      </c>
      <c r="L60" s="84">
        <v>45444.0</v>
      </c>
      <c r="M60" s="82" t="s">
        <v>58</v>
      </c>
    </row>
    <row r="61">
      <c r="C61" s="38" t="s">
        <v>59</v>
      </c>
      <c r="D61" s="85"/>
      <c r="E61" s="86"/>
      <c r="F61" s="87">
        <f t="shared" ref="F61:G61" si="52">F$14*F52</f>
        <v>37021.29463</v>
      </c>
      <c r="G61" s="87">
        <f t="shared" si="52"/>
        <v>43704.97143</v>
      </c>
      <c r="H61" s="88">
        <f t="shared" ref="H61:H66" si="55">F61/G61-1</f>
        <v>-0.1529271518</v>
      </c>
      <c r="K61" s="87">
        <f t="shared" ref="K61:L61" si="53">K$14*K52</f>
        <v>43704.97143</v>
      </c>
      <c r="L61" s="87">
        <f t="shared" si="53"/>
        <v>37578.43531</v>
      </c>
      <c r="M61" s="88">
        <f t="shared" ref="M61:M66" si="57">K61/L61-1</f>
        <v>0.1630332947</v>
      </c>
    </row>
    <row r="62">
      <c r="C62" s="38" t="s">
        <v>60</v>
      </c>
      <c r="D62" s="85"/>
      <c r="E62" s="86"/>
      <c r="F62" s="87">
        <f t="shared" ref="F62:G62" si="54">F$14*F53</f>
        <v>34.55171273</v>
      </c>
      <c r="G62" s="87">
        <f t="shared" si="54"/>
        <v>66.03063308</v>
      </c>
      <c r="H62" s="88">
        <f t="shared" si="55"/>
        <v>-0.4767320693</v>
      </c>
      <c r="K62" s="87">
        <f t="shared" ref="K62:L62" si="56">K$14*K53</f>
        <v>66.03063308</v>
      </c>
      <c r="L62" s="87">
        <f t="shared" si="56"/>
        <v>61.0534279</v>
      </c>
      <c r="M62" s="88">
        <f t="shared" si="57"/>
        <v>0.08152212501</v>
      </c>
    </row>
    <row r="63">
      <c r="C63" s="38" t="s">
        <v>61</v>
      </c>
      <c r="D63" s="85"/>
      <c r="E63" s="86"/>
      <c r="F63" s="87">
        <f t="shared" ref="F63:G63" si="58">F$14*F54</f>
        <v>623.5623825</v>
      </c>
      <c r="G63" s="87">
        <f t="shared" si="58"/>
        <v>623.8502004</v>
      </c>
      <c r="H63" s="88">
        <f t="shared" si="55"/>
        <v>-0.0004613573362</v>
      </c>
      <c r="K63" s="87">
        <f t="shared" ref="K63:L63" si="59">K$14*K54</f>
        <v>623.8502004</v>
      </c>
      <c r="L63" s="87">
        <f t="shared" si="59"/>
        <v>588.8945881</v>
      </c>
      <c r="M63" s="88">
        <f t="shared" si="57"/>
        <v>0.05935801234</v>
      </c>
    </row>
    <row r="64">
      <c r="C64" s="38" t="s">
        <v>62</v>
      </c>
      <c r="D64" s="85"/>
      <c r="E64" s="86"/>
      <c r="F64" s="87">
        <f t="shared" ref="F64:G64" si="60">F$14*F55</f>
        <v>28365.54038</v>
      </c>
      <c r="G64" s="87">
        <f t="shared" si="60"/>
        <v>31397.93</v>
      </c>
      <c r="H64" s="88">
        <f t="shared" si="55"/>
        <v>-0.09657928475</v>
      </c>
      <c r="K64" s="87">
        <f t="shared" ref="K64:L64" si="61">K$14*K55</f>
        <v>31397.93</v>
      </c>
      <c r="L64" s="87">
        <f t="shared" si="61"/>
        <v>26132.89944</v>
      </c>
      <c r="M64" s="88">
        <f t="shared" si="57"/>
        <v>0.201471351</v>
      </c>
    </row>
    <row r="65">
      <c r="C65" s="38" t="s">
        <v>63</v>
      </c>
      <c r="D65" s="85"/>
      <c r="E65" s="86"/>
      <c r="F65" s="87">
        <f t="shared" ref="F65:G65" si="62">F$14*F56</f>
        <v>7997.640157</v>
      </c>
      <c r="G65" s="87">
        <f t="shared" si="62"/>
        <v>11617.1606</v>
      </c>
      <c r="H65" s="88">
        <f t="shared" si="55"/>
        <v>-0.3115667043</v>
      </c>
      <c r="K65" s="87">
        <f t="shared" ref="K65:L65" si="63">K$14*K56</f>
        <v>11617.1606</v>
      </c>
      <c r="L65" s="87">
        <f t="shared" si="63"/>
        <v>10535.55415</v>
      </c>
      <c r="M65" s="88">
        <f t="shared" si="57"/>
        <v>0.1026625114</v>
      </c>
    </row>
    <row r="66">
      <c r="C66" s="38" t="s">
        <v>64</v>
      </c>
      <c r="D66" s="85"/>
      <c r="E66" s="86"/>
      <c r="F66" s="87">
        <f t="shared" ref="F66:G66" si="64">F$14*F57</f>
        <v>1243367.345</v>
      </c>
      <c r="G66" s="87">
        <f t="shared" si="64"/>
        <v>1318012.759</v>
      </c>
      <c r="H66" s="88">
        <f t="shared" si="55"/>
        <v>-0.0566348193</v>
      </c>
      <c r="K66" s="87">
        <f t="shared" ref="K66:L66" si="65">K$14*K57</f>
        <v>1318012.759</v>
      </c>
      <c r="L66" s="87">
        <f t="shared" si="65"/>
        <v>1115511.892</v>
      </c>
      <c r="M66" s="88">
        <f t="shared" si="57"/>
        <v>0.1815317872</v>
      </c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2"/>
    </customSheetView>
  </customSheetViews>
  <mergeCells count="1">
    <mergeCell ref="C1:C2"/>
  </mergeCells>
  <conditionalFormatting sqref="H6 H8:H12 H14:H16 H18:H19 H21:H22 H2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69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  <c r="L2" s="9">
        <f>SUMPRODUCT(J4:T4,J12:T12)/10^8</f>
        <v>0</v>
      </c>
    </row>
    <row r="3" ht="44.25" customHeight="1">
      <c r="C3" s="2" t="s">
        <v>2</v>
      </c>
      <c r="D3" s="3"/>
      <c r="E3" s="10"/>
      <c r="F3" s="11">
        <f t="shared" ref="F3:G3" si="1">J3</f>
        <v>45992</v>
      </c>
      <c r="G3" s="11">
        <f t="shared" si="1"/>
        <v>45962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2">J6</f>
        <v>33138242.67</v>
      </c>
      <c r="G6" s="31">
        <f t="shared" si="2"/>
        <v>32659890.5</v>
      </c>
      <c r="H6" s="32">
        <f>IFERROR(F6/G6-1,"-")</f>
        <v>0.01464647184</v>
      </c>
      <c r="I6" s="30"/>
      <c r="J6" s="31">
        <v>3.3138242666666668E7</v>
      </c>
      <c r="K6" s="31">
        <v>3.26598905E7</v>
      </c>
      <c r="L6" s="31">
        <v>3.1740091129032258E7</v>
      </c>
      <c r="M6" s="31">
        <v>3.0003966233333334E7</v>
      </c>
      <c r="N6" s="31">
        <v>2.9994182129032258E7</v>
      </c>
      <c r="O6" s="31">
        <v>2.9162731580645163E7</v>
      </c>
      <c r="P6" s="31">
        <v>2.8858924533333335E7</v>
      </c>
      <c r="Q6" s="31">
        <v>2.828123380645161E7</v>
      </c>
      <c r="R6" s="31">
        <v>2.75343868E7</v>
      </c>
      <c r="S6" s="31">
        <v>2.6464458129032258E7</v>
      </c>
      <c r="T6" s="31">
        <v>2.621431482142857E7</v>
      </c>
      <c r="U6" s="31">
        <v>2.6368760580645163E7</v>
      </c>
      <c r="V6" s="31">
        <v>2.5765316580645163E7</v>
      </c>
      <c r="W6" s="31">
        <v>2.63247439E7</v>
      </c>
      <c r="X6" s="31">
        <v>2.4368159096774194E7</v>
      </c>
      <c r="Y6" s="31">
        <v>2.3311414533333335E7</v>
      </c>
      <c r="Z6" s="31">
        <v>2.2668972774193548E7</v>
      </c>
      <c r="AA6" s="31">
        <v>2.2725301580645163E7</v>
      </c>
      <c r="AB6" s="31">
        <v>2.1450105966666665E7</v>
      </c>
      <c r="AC6" s="31">
        <v>2.042848780645161E7</v>
      </c>
      <c r="AD6" s="31">
        <v>1.9728795533333335E7</v>
      </c>
      <c r="AE6" s="31">
        <v>1.868883306451613E7</v>
      </c>
      <c r="AF6" s="31">
        <v>1.800056720689655E7</v>
      </c>
      <c r="AG6" s="31">
        <v>1.7898884032258064E7</v>
      </c>
      <c r="AH6" s="31">
        <v>1.6631565548387097E7</v>
      </c>
      <c r="AI6" s="31">
        <v>1.78590686E7</v>
      </c>
      <c r="AJ6" s="31">
        <v>1.635823558064516E7</v>
      </c>
      <c r="AK6" s="31">
        <v>1.5650536433333334E7</v>
      </c>
      <c r="AL6" s="31">
        <v>1.5179785032258065E7</v>
      </c>
      <c r="AM6" s="31">
        <v>1.4626980290322581E7</v>
      </c>
      <c r="AN6" s="31">
        <v>1.30470361E7</v>
      </c>
      <c r="AO6" s="31">
        <v>1.2709252516129032E7</v>
      </c>
      <c r="AP6" s="31">
        <v>1.1898333E7</v>
      </c>
      <c r="AQ6" s="31">
        <v>1.2653009741935484E7</v>
      </c>
      <c r="AR6" s="31">
        <v>1.2171051785714285E7</v>
      </c>
      <c r="AS6" s="31">
        <v>1.230370964516129E7</v>
      </c>
      <c r="AT6" s="31">
        <v>1.2125082064516129E7</v>
      </c>
      <c r="AU6" s="31">
        <v>1.3305214566666666E7</v>
      </c>
      <c r="AV6" s="31">
        <v>1.2331445516129032E7</v>
      </c>
      <c r="AW6" s="31">
        <v>1.2713548866666667E7</v>
      </c>
      <c r="AX6" s="31">
        <v>1.2204953935483871E7</v>
      </c>
      <c r="AY6" s="33">
        <v>1.1668153387096774E7</v>
      </c>
      <c r="AZ6" s="33">
        <v>1.0940666166666666E7</v>
      </c>
      <c r="BA6" s="33">
        <v>1.0989393322580645E7</v>
      </c>
      <c r="BB6" s="33">
        <v>1.0461668566666666E7</v>
      </c>
      <c r="BC6" s="33">
        <v>1.0373824064516129E7</v>
      </c>
      <c r="BD6" s="33">
        <v>9688694.42857143</v>
      </c>
      <c r="BE6" s="33">
        <v>8981360.677419355</v>
      </c>
    </row>
    <row r="7">
      <c r="D7" s="3"/>
      <c r="F7" s="4"/>
      <c r="G7" s="4"/>
      <c r="H7" s="5"/>
      <c r="L7" s="35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3">J8</f>
        <v>3814077</v>
      </c>
      <c r="G8" s="31">
        <f t="shared" si="3"/>
        <v>3288715.533</v>
      </c>
      <c r="H8" s="32">
        <f t="shared" ref="H8:H12" si="5">IFERROR(F8/G8-1,"-")</f>
        <v>0.1597467039</v>
      </c>
      <c r="I8" s="30"/>
      <c r="J8" s="31">
        <v>3814077.0</v>
      </c>
      <c r="K8" s="31">
        <v>3288715.533333333</v>
      </c>
      <c r="L8" s="31">
        <v>2858167.64516129</v>
      </c>
      <c r="M8" s="31">
        <v>2725697.566666667</v>
      </c>
      <c r="N8" s="31">
        <v>2635128.0</v>
      </c>
      <c r="O8" s="31">
        <v>2575862.193548387</v>
      </c>
      <c r="P8" s="31">
        <v>2475550.466666667</v>
      </c>
      <c r="Q8" s="31">
        <v>2440459.35483871</v>
      </c>
      <c r="R8" s="31">
        <v>2265095.8333333335</v>
      </c>
      <c r="S8" s="31">
        <v>2200149.935483871</v>
      </c>
      <c r="T8" s="31">
        <v>2085241.5357142857</v>
      </c>
      <c r="U8" s="31">
        <v>2035787.8064516129</v>
      </c>
      <c r="V8" s="31">
        <v>1913080.5161290322</v>
      </c>
      <c r="W8" s="31">
        <v>2146306.9</v>
      </c>
      <c r="X8" s="31">
        <v>1919361.322580645</v>
      </c>
      <c r="Y8" s="31">
        <v>1842544.9333333333</v>
      </c>
      <c r="Z8" s="31">
        <v>1701773.1612903227</v>
      </c>
      <c r="AA8" s="31">
        <v>1733853.935483871</v>
      </c>
      <c r="AB8" s="31">
        <v>1674377.9</v>
      </c>
      <c r="AC8" s="31">
        <v>1585515.677419355</v>
      </c>
      <c r="AD8" s="31">
        <v>1522895.0666666667</v>
      </c>
      <c r="AE8" s="31">
        <v>1507179.3870967743</v>
      </c>
      <c r="AF8" s="31">
        <v>1415152.0689655172</v>
      </c>
      <c r="AG8" s="31">
        <v>1413529.0322580645</v>
      </c>
      <c r="AH8" s="31">
        <v>1249194.5161290322</v>
      </c>
      <c r="AI8" s="31">
        <v>1379807.0</v>
      </c>
      <c r="AJ8" s="36">
        <v>1238304.6129032257</v>
      </c>
      <c r="AK8" s="36">
        <v>1229862.0333333334</v>
      </c>
      <c r="AL8" s="36">
        <v>1186299.4516129033</v>
      </c>
      <c r="AM8" s="36">
        <v>1147017.8387096773</v>
      </c>
      <c r="AN8" s="36">
        <v>1026078.5333333333</v>
      </c>
      <c r="AO8" s="36">
        <v>840949.4838709678</v>
      </c>
      <c r="AP8" s="36">
        <v>802232.6</v>
      </c>
      <c r="AQ8" s="36">
        <v>781111.4838709678</v>
      </c>
      <c r="AR8" s="36">
        <v>744823.1785714285</v>
      </c>
      <c r="AS8" s="36">
        <v>771809.0666666667</v>
      </c>
      <c r="AT8" s="36">
        <v>751484.8709677419</v>
      </c>
      <c r="AU8" s="36">
        <v>917086.6333333333</v>
      </c>
      <c r="AV8" s="36">
        <v>806992.6129032258</v>
      </c>
      <c r="AW8" s="36">
        <v>963418.9666666667</v>
      </c>
      <c r="AX8" s="36">
        <v>927022.4838709678</v>
      </c>
      <c r="AY8" s="37">
        <v>936094.7741935484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4">J9</f>
        <v>0.1150959343</v>
      </c>
      <c r="G9" s="40">
        <f t="shared" si="4"/>
        <v>0.100695853</v>
      </c>
      <c r="H9" s="32">
        <f t="shared" si="5"/>
        <v>0.1430057031</v>
      </c>
      <c r="I9" s="30"/>
      <c r="J9" s="40">
        <v>0.1150959342764585</v>
      </c>
      <c r="K9" s="40">
        <v>0.10069585301681686</v>
      </c>
      <c r="L9" s="40">
        <v>0.09004913166575507</v>
      </c>
      <c r="M9" s="40">
        <v>0.09084457519614571</v>
      </c>
      <c r="N9" s="40">
        <v>0.08785463756484234</v>
      </c>
      <c r="O9" s="40">
        <v>0.08832719206790442</v>
      </c>
      <c r="P9" s="40">
        <v>0.08578110607716155</v>
      </c>
      <c r="Q9" s="40">
        <v>0.08629253488516417</v>
      </c>
      <c r="R9" s="40">
        <v>0.08226425559378477</v>
      </c>
      <c r="S9" s="40">
        <v>0.08313602813088564</v>
      </c>
      <c r="T9" s="40">
        <v>0.07954591031346471</v>
      </c>
      <c r="U9" s="40">
        <v>0.07720453148434644</v>
      </c>
      <c r="V9" s="40">
        <v>0.07425022355697089</v>
      </c>
      <c r="W9" s="40">
        <v>0.08153191948051582</v>
      </c>
      <c r="X9" s="40">
        <v>0.07876513424580875</v>
      </c>
      <c r="Y9" s="40">
        <v>0.07904046023027265</v>
      </c>
      <c r="Z9" s="40">
        <v>0.07507059001930728</v>
      </c>
      <c r="AA9" s="40">
        <v>0.07629619036433696</v>
      </c>
      <c r="AB9" s="40">
        <v>0.07805919013183306</v>
      </c>
      <c r="AC9" s="40">
        <v>0.0776129732382162</v>
      </c>
      <c r="AD9" s="40">
        <v>0.07719148713836163</v>
      </c>
      <c r="AE9" s="40">
        <v>0.08064598693207903</v>
      </c>
      <c r="AF9" s="40">
        <v>0.07861708204524413</v>
      </c>
      <c r="AG9" s="40">
        <v>0.07897302589985765</v>
      </c>
      <c r="AH9" s="40">
        <v>0.07510985736698594</v>
      </c>
      <c r="AI9" s="40">
        <v>0.07726086006523318</v>
      </c>
      <c r="AJ9" s="36">
        <v>0.07569915513188787</v>
      </c>
      <c r="AK9" s="36">
        <v>0.07858273986787499</v>
      </c>
      <c r="AL9" s="36">
        <v>0.0781499506805885</v>
      </c>
      <c r="AM9" s="36">
        <v>0.0784179520272247</v>
      </c>
      <c r="AN9" s="36">
        <v>0.07864456919325404</v>
      </c>
      <c r="AO9" s="36">
        <v>0.06616828824541313</v>
      </c>
      <c r="AP9" s="36">
        <v>0.06742394922044961</v>
      </c>
      <c r="AQ9" s="36">
        <v>0.061733255549638426</v>
      </c>
      <c r="AR9" s="36">
        <v>0.061196287032946585</v>
      </c>
      <c r="AS9" s="36">
        <v>0.06272978548142169</v>
      </c>
      <c r="AT9" s="36">
        <v>0.061977714210030066</v>
      </c>
      <c r="AU9" s="36">
        <v>0.06892685786750823</v>
      </c>
      <c r="AV9" s="36">
        <v>0.06544185041791833</v>
      </c>
      <c r="AW9" s="36">
        <v>0.07577891718280413</v>
      </c>
      <c r="AX9" s="36">
        <v>0.0759546073480707</v>
      </c>
      <c r="AY9" s="37">
        <v>0.08022647141652497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6">J10</f>
        <v>7338833.111</v>
      </c>
      <c r="G10" s="31">
        <f t="shared" si="6"/>
        <v>6204073.767</v>
      </c>
      <c r="H10" s="32">
        <f t="shared" si="5"/>
        <v>0.182905521</v>
      </c>
      <c r="I10" s="30"/>
      <c r="J10" s="31">
        <v>7338833.111111033</v>
      </c>
      <c r="K10" s="31">
        <v>6204073.766666665</v>
      </c>
      <c r="L10" s="31">
        <v>5256768.4516128935</v>
      </c>
      <c r="M10" s="31">
        <v>4991420.700000003</v>
      </c>
      <c r="N10" s="31">
        <v>4782487.548387094</v>
      </c>
      <c r="O10" s="31">
        <v>4683521.741935492</v>
      </c>
      <c r="P10" s="31">
        <v>4492703.666666668</v>
      </c>
      <c r="Q10" s="31">
        <v>4481513.677419354</v>
      </c>
      <c r="R10" s="31">
        <v>4162040.2000000016</v>
      </c>
      <c r="S10" s="31">
        <v>4037009.774193555</v>
      </c>
      <c r="T10" s="31">
        <v>3789420.321428576</v>
      </c>
      <c r="U10" s="31">
        <v>3685583.4838709775</v>
      </c>
      <c r="V10" s="31">
        <v>3411860.5483870967</v>
      </c>
      <c r="W10" s="31">
        <v>3970862.2666666815</v>
      </c>
      <c r="X10" s="31">
        <v>3501254.709677425</v>
      </c>
      <c r="Y10" s="31">
        <v>3368672.5333333393</v>
      </c>
      <c r="Z10" s="31">
        <v>3080291.8064516135</v>
      </c>
      <c r="AA10" s="31">
        <v>3161510.7419354897</v>
      </c>
      <c r="AB10" s="31">
        <v>3061771.2666666703</v>
      </c>
      <c r="AC10" s="31">
        <v>2913270.4838709724</v>
      </c>
      <c r="AD10" s="31">
        <v>2790902.5666666683</v>
      </c>
      <c r="AE10" s="31">
        <v>2788698.645161291</v>
      </c>
      <c r="AF10" s="31">
        <v>2604830.620689655</v>
      </c>
      <c r="AG10" s="31">
        <v>2598878.7741935514</v>
      </c>
      <c r="AH10" s="31">
        <v>2271225.387096775</v>
      </c>
      <c r="AI10" s="31">
        <v>2578827.9333333313</v>
      </c>
      <c r="AJ10" s="36">
        <v>2250358.3225806435</v>
      </c>
      <c r="AK10" s="36">
        <v>2260817.033333332</v>
      </c>
      <c r="AL10" s="36">
        <v>2152937.612903224</v>
      </c>
      <c r="AM10" s="36">
        <v>2096352.4516128988</v>
      </c>
      <c r="AN10" s="36">
        <v>1879888.4999999984</v>
      </c>
      <c r="AO10" s="36">
        <v>1429491.9999999998</v>
      </c>
      <c r="AP10" s="36">
        <v>1359887.766666666</v>
      </c>
      <c r="AQ10" s="36">
        <v>1283378.741935485</v>
      </c>
      <c r="AR10" s="36">
        <v>1217806.7500000012</v>
      </c>
      <c r="AS10" s="36">
        <v>1254966.5999999985</v>
      </c>
      <c r="AT10" s="36">
        <v>1266583.935483871</v>
      </c>
      <c r="AU10" s="36">
        <v>1644514.2999999966</v>
      </c>
      <c r="AV10" s="36">
        <v>1394259.5483870958</v>
      </c>
      <c r="AW10" s="36">
        <v>1755238.733333327</v>
      </c>
      <c r="AX10" s="36">
        <v>1659564.8387096734</v>
      </c>
      <c r="AY10" s="37">
        <v>1807761.290322597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7">J11</f>
        <v>0.2214611434</v>
      </c>
      <c r="G11" s="41">
        <f t="shared" si="7"/>
        <v>0.1899600296</v>
      </c>
      <c r="H11" s="32">
        <f t="shared" si="5"/>
        <v>0.1658302215</v>
      </c>
      <c r="I11" s="30"/>
      <c r="J11" s="41">
        <v>0.2214611433965106</v>
      </c>
      <c r="K11" s="41">
        <v>0.18996002961695982</v>
      </c>
      <c r="L11" s="41">
        <v>0.16561919845291792</v>
      </c>
      <c r="M11" s="41">
        <v>0.1663586960864765</v>
      </c>
      <c r="N11" s="41">
        <v>0.1594471730488688</v>
      </c>
      <c r="O11" s="41">
        <v>0.16059955594296488</v>
      </c>
      <c r="P11" s="41">
        <v>0.15567813906153696</v>
      </c>
      <c r="Q11" s="41">
        <v>0.15846245280844204</v>
      </c>
      <c r="R11" s="41">
        <v>0.15115790412300018</v>
      </c>
      <c r="S11" s="41">
        <v>0.1525445846844996</v>
      </c>
      <c r="T11" s="41">
        <v>0.14455538308905028</v>
      </c>
      <c r="U11" s="41">
        <v>0.1397708274000644</v>
      </c>
      <c r="V11" s="41">
        <v>0.13242067248457864</v>
      </c>
      <c r="W11" s="41">
        <v>0.15084143958819982</v>
      </c>
      <c r="X11" s="41">
        <v>0.14368154343431358</v>
      </c>
      <c r="Y11" s="41">
        <v>0.1445074269738726</v>
      </c>
      <c r="Z11" s="41">
        <v>0.13588140217620406</v>
      </c>
      <c r="AA11" s="41">
        <v>0.1391185384588298</v>
      </c>
      <c r="AB11" s="41">
        <v>0.14273921403580217</v>
      </c>
      <c r="AC11" s="41">
        <v>0.1426082298147844</v>
      </c>
      <c r="AD11" s="41">
        <v>0.1414634036807377</v>
      </c>
      <c r="AE11" s="41">
        <v>0.14921737679042685</v>
      </c>
      <c r="AF11" s="41">
        <v>0.1447082522872761</v>
      </c>
      <c r="AG11" s="41">
        <v>0.1451978106294086</v>
      </c>
      <c r="AH11" s="41">
        <v>0.1365611301286688</v>
      </c>
      <c r="AI11" s="41">
        <v>0.14439879206989165</v>
      </c>
      <c r="AJ11" s="31">
        <v>0.1375673012829841</v>
      </c>
      <c r="AK11" s="31">
        <v>0.14445620078032118</v>
      </c>
      <c r="AL11" s="31">
        <v>0.14182925570606478</v>
      </c>
      <c r="AM11" s="31">
        <v>0.14332093227744866</v>
      </c>
      <c r="AN11" s="31">
        <v>0.14408548313896352</v>
      </c>
      <c r="AO11" s="31">
        <v>0.1124764810665193</v>
      </c>
      <c r="AP11" s="31">
        <v>0.11429229343864102</v>
      </c>
      <c r="AQ11" s="31">
        <v>0.10142873261861342</v>
      </c>
      <c r="AR11" s="31">
        <v>0.10005764262948877</v>
      </c>
      <c r="AS11" s="31">
        <v>0.10199904225580797</v>
      </c>
      <c r="AT11" s="31">
        <v>0.10445982375579213</v>
      </c>
      <c r="AU11" s="31">
        <v>0.1235992318470362</v>
      </c>
      <c r="AV11" s="31">
        <v>0.11306537798536763</v>
      </c>
      <c r="AW11" s="31">
        <v>0.13806048584399147</v>
      </c>
      <c r="AX11" s="31">
        <v>0.13597469089045597</v>
      </c>
      <c r="AY11" s="33">
        <v>0.1549312243633778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8">J12</f>
        <v>88830924.61</v>
      </c>
      <c r="G12" s="31">
        <f t="shared" si="8"/>
        <v>77993296.53</v>
      </c>
      <c r="H12" s="32">
        <f t="shared" si="5"/>
        <v>0.1389558918</v>
      </c>
      <c r="I12" s="30"/>
      <c r="J12" s="31">
        <v>8.883092460606688E7</v>
      </c>
      <c r="K12" s="31">
        <v>7.799329653355442E7</v>
      </c>
      <c r="L12" s="31">
        <v>6.570402130631782E7</v>
      </c>
      <c r="M12" s="31">
        <v>6.136405100307358E7</v>
      </c>
      <c r="N12" s="31">
        <v>5.650402199857287E7</v>
      </c>
      <c r="O12" s="31">
        <v>5.642103333773861E7</v>
      </c>
      <c r="P12" s="31">
        <v>5.57482511596368E7</v>
      </c>
      <c r="Q12" s="31">
        <v>5.732732764917261E7</v>
      </c>
      <c r="R12" s="31">
        <v>5.083274450316404E7</v>
      </c>
      <c r="S12" s="31">
        <v>4.7153378068943724E7</v>
      </c>
      <c r="T12" s="31">
        <v>4.46790320762827E7</v>
      </c>
      <c r="U12" s="31">
        <v>3.903262216810655E7</v>
      </c>
      <c r="V12" s="31">
        <v>3.8086263145215064E7</v>
      </c>
      <c r="W12" s="31">
        <v>4.651340553331176E7</v>
      </c>
      <c r="X12" s="31">
        <v>4.2615604021474995E7</v>
      </c>
      <c r="Y12" s="31">
        <v>3.8741121239644885E7</v>
      </c>
      <c r="Z12" s="31">
        <v>3.5605003948482566E7</v>
      </c>
      <c r="AA12" s="31">
        <v>3.741422854533063E7</v>
      </c>
      <c r="AB12" s="31">
        <v>3.73127478742504E7</v>
      </c>
      <c r="AC12" s="31">
        <v>3.588986962467784E7</v>
      </c>
      <c r="AD12" s="31">
        <v>3.4638499550665244E7</v>
      </c>
      <c r="AE12" s="31">
        <v>3.0928442058681935E7</v>
      </c>
      <c r="AF12" s="31">
        <v>2.8986869536235873E7</v>
      </c>
      <c r="AG12" s="31">
        <v>2.9485841952190023E7</v>
      </c>
      <c r="AH12" s="31">
        <v>2.6048055290377688E7</v>
      </c>
      <c r="AI12" s="31">
        <v>2.860093389319233E7</v>
      </c>
      <c r="AJ12" s="31">
        <v>2.454610155618505E7</v>
      </c>
      <c r="AK12" s="31">
        <v>2.435891976543778E7</v>
      </c>
      <c r="AL12" s="31">
        <v>2.454129581930067E7</v>
      </c>
      <c r="AM12" s="31">
        <v>2.375174794397215E7</v>
      </c>
      <c r="AN12" s="31">
        <v>2.051074673263817E7</v>
      </c>
      <c r="AO12" s="31">
        <v>1.910620706718304E7</v>
      </c>
      <c r="AP12" s="31">
        <v>1.7878677600849155E7</v>
      </c>
      <c r="AQ12" s="31">
        <v>1.754851596467759E7</v>
      </c>
      <c r="AR12" s="31">
        <v>1.6940766691517908E7</v>
      </c>
      <c r="AS12" s="31">
        <v>1.7398806997448973E7</v>
      </c>
      <c r="AT12" s="31">
        <v>1.7283108903874613E7</v>
      </c>
      <c r="AU12" s="31">
        <v>2.292851527324022E7</v>
      </c>
      <c r="AV12" s="31">
        <v>1.9640343738170266E7</v>
      </c>
      <c r="AW12" s="31">
        <v>2.2908177510468014E7</v>
      </c>
      <c r="AX12" s="31">
        <v>2.0797999738700863E7</v>
      </c>
      <c r="AY12" s="33">
        <v>2.053564572457766E7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36"/>
      <c r="V13" s="36"/>
      <c r="W13" s="36"/>
      <c r="X13" s="36"/>
      <c r="Y13" s="36"/>
      <c r="Z13" s="36"/>
      <c r="AA13" s="36"/>
      <c r="AB13" s="36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9">J14</f>
        <v>2115797.078</v>
      </c>
      <c r="G14" s="31">
        <f t="shared" si="9"/>
        <v>1897752.531</v>
      </c>
      <c r="H14" s="32">
        <f t="shared" ref="H14:H16" si="11">IFERROR(F14/G14-1,"-")</f>
        <v>0.1148961961</v>
      </c>
      <c r="I14" s="30"/>
      <c r="J14" s="31">
        <v>2115797.0775272623</v>
      </c>
      <c r="K14" s="31">
        <v>1897752.5305733182</v>
      </c>
      <c r="L14" s="31">
        <v>1624582.4799848308</v>
      </c>
      <c r="M14" s="31">
        <v>1399552.516394575</v>
      </c>
      <c r="N14" s="31">
        <v>1248954.8558288305</v>
      </c>
      <c r="O14" s="31">
        <v>1186945.1616292053</v>
      </c>
      <c r="P14" s="31">
        <v>1018125.1243278632</v>
      </c>
      <c r="Q14" s="31">
        <v>968644.6318798213</v>
      </c>
      <c r="R14" s="31">
        <v>807832.4114870896</v>
      </c>
      <c r="S14" s="31">
        <v>713519.0371997745</v>
      </c>
      <c r="T14" s="31">
        <v>648783.4628984267</v>
      </c>
      <c r="U14" s="31">
        <v>525123.0586208298</v>
      </c>
      <c r="V14" s="31">
        <v>507281.95273095364</v>
      </c>
      <c r="W14" s="31">
        <v>585130.0466614387</v>
      </c>
      <c r="X14" s="36">
        <v>554355.6460457398</v>
      </c>
      <c r="Y14" s="36">
        <v>536023.6014241005</v>
      </c>
      <c r="Z14" s="36">
        <v>579094.1195989943</v>
      </c>
      <c r="AA14" s="36">
        <v>698856.0679174713</v>
      </c>
      <c r="AB14" s="36">
        <v>632183.5694765752</v>
      </c>
      <c r="AC14" s="36">
        <v>575536.7200046595</v>
      </c>
      <c r="AD14" s="36">
        <v>442345.890836931</v>
      </c>
      <c r="AE14" s="36">
        <v>351567.9855746153</v>
      </c>
      <c r="AF14" s="36">
        <v>295130.87093350315</v>
      </c>
      <c r="AG14" s="36">
        <v>296386.50072579185</v>
      </c>
      <c r="AH14" s="36">
        <v>273429.87424334197</v>
      </c>
      <c r="AI14" s="36">
        <v>318969.6440533789</v>
      </c>
      <c r="AJ14" s="36">
        <v>280222.6989464566</v>
      </c>
      <c r="AK14" s="36">
        <v>283064.6877817437</v>
      </c>
      <c r="AL14" s="36">
        <v>295119.1807615851</v>
      </c>
      <c r="AM14" s="36">
        <v>298879.27170671173</v>
      </c>
      <c r="AN14" s="36">
        <v>261584.46268488278</v>
      </c>
      <c r="AO14" s="36">
        <v>245304.39326348304</v>
      </c>
      <c r="AP14" s="36">
        <v>220627.52953670628</v>
      </c>
      <c r="AQ14" s="36">
        <v>220431.2979678147</v>
      </c>
      <c r="AR14" s="36">
        <v>208519.0914090009</v>
      </c>
      <c r="AS14" s="36">
        <v>200218.56659428205</v>
      </c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>
        <f t="shared" ref="F15:G15" si="10">J15</f>
        <v>0.02381824896</v>
      </c>
      <c r="G15" s="40">
        <f t="shared" si="10"/>
        <v>0.02433225181</v>
      </c>
      <c r="H15" s="32">
        <f t="shared" si="11"/>
        <v>-0.02112434364</v>
      </c>
      <c r="I15" s="30"/>
      <c r="J15" s="40">
        <v>0.023818248959020287</v>
      </c>
      <c r="K15" s="40">
        <v>0.02433225180778022</v>
      </c>
      <c r="L15" s="40">
        <v>0.024725769407794494</v>
      </c>
      <c r="M15" s="40">
        <v>0.02280736837801785</v>
      </c>
      <c r="N15" s="40">
        <v>0.02210382219977855</v>
      </c>
      <c r="O15" s="40">
        <v>0.02103728151386564</v>
      </c>
      <c r="P15" s="40">
        <v>0.01826290696388719</v>
      </c>
      <c r="Q15" s="40">
        <v>0.016896734447620836</v>
      </c>
      <c r="R15" s="40">
        <v>0.015891969229338124</v>
      </c>
      <c r="S15" s="40">
        <v>0.0151318753060815</v>
      </c>
      <c r="T15" s="40">
        <v>0.014520982947677265</v>
      </c>
      <c r="U15" s="40">
        <v>0.013453440467289602</v>
      </c>
      <c r="V15" s="40">
        <v>0.013319289182999976</v>
      </c>
      <c r="W15" s="40">
        <v>0.012579815215688364</v>
      </c>
      <c r="X15" s="36">
        <v>0.013008278511466999</v>
      </c>
      <c r="Y15" s="36">
        <v>0.013836037375076599</v>
      </c>
      <c r="Z15" s="36">
        <v>0.01626440262264525</v>
      </c>
      <c r="AA15" s="36">
        <v>0.018678884881208915</v>
      </c>
      <c r="AB15" s="36">
        <v>0.016942830681008256</v>
      </c>
      <c r="AC15" s="36">
        <v>0.01603618865221291</v>
      </c>
      <c r="AD15" s="36">
        <v>0.01277035369819983</v>
      </c>
      <c r="AE15" s="36">
        <v>0.011367141768976576</v>
      </c>
      <c r="AF15" s="36">
        <v>0.01018153652516931</v>
      </c>
      <c r="AG15" s="36">
        <v>0.010051824235047089</v>
      </c>
      <c r="AH15" s="36">
        <v>0.010497131981455392</v>
      </c>
      <c r="AI15" s="36">
        <v>0.011152420590339567</v>
      </c>
      <c r="AJ15" s="36">
        <v>0.011416179400424869</v>
      </c>
      <c r="AK15" s="36">
        <v>0.01162057638464644</v>
      </c>
      <c r="AL15" s="36">
        <v>0.012025411491494538</v>
      </c>
      <c r="AM15" s="36">
        <v>0.012583464274365666</v>
      </c>
      <c r="AN15" s="36">
        <v>0.012753531896946045</v>
      </c>
      <c r="AO15" s="36">
        <v>0.012838989570296224</v>
      </c>
      <c r="AP15" s="36">
        <v>0.012340259971253549</v>
      </c>
      <c r="AQ15" s="36">
        <v>0.012561250102943651</v>
      </c>
      <c r="AR15" s="36">
        <v>0.012308716317627144</v>
      </c>
      <c r="AS15" s="36">
        <v>0.011507603172081755</v>
      </c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>
        <f t="shared" ref="F16:G16" si="12">J16</f>
        <v>11.56223496</v>
      </c>
      <c r="G16" s="36">
        <f t="shared" si="12"/>
        <v>11.2262069</v>
      </c>
      <c r="H16" s="32">
        <f t="shared" si="11"/>
        <v>0.02993246665</v>
      </c>
      <c r="I16" s="30"/>
      <c r="J16" s="36">
        <v>11.562234959629249</v>
      </c>
      <c r="K16" s="36">
        <v>11.226206896122271</v>
      </c>
      <c r="L16" s="36">
        <v>11.038526234213391</v>
      </c>
      <c r="M16" s="36">
        <v>10.833229879210393</v>
      </c>
      <c r="N16" s="36">
        <v>10.665780416578686</v>
      </c>
      <c r="O16" s="36">
        <v>10.593997277976296</v>
      </c>
      <c r="P16" s="36">
        <v>11.238225899443608</v>
      </c>
      <c r="Q16" s="36">
        <v>11.067821341629019</v>
      </c>
      <c r="R16" s="36">
        <v>10.676128274352193</v>
      </c>
      <c r="S16" s="36">
        <v>10.27718854043211</v>
      </c>
      <c r="T16" s="36">
        <v>9.801853469609284</v>
      </c>
      <c r="U16" s="36">
        <v>9.361238443716719</v>
      </c>
      <c r="V16" s="36">
        <v>9.202378517838547</v>
      </c>
      <c r="W16" s="36">
        <v>9.535357958177746</v>
      </c>
      <c r="X16" s="36">
        <v>8.600336567642616</v>
      </c>
      <c r="Y16" s="36">
        <v>7.810896855363081</v>
      </c>
      <c r="Z16" s="36">
        <v>6.593675107729837</v>
      </c>
      <c r="AA16" s="36">
        <v>5.822257860839256</v>
      </c>
      <c r="AB16" s="36">
        <v>5.899910558981193</v>
      </c>
      <c r="AC16" s="36">
        <v>5.864670085740753</v>
      </c>
      <c r="AD16" s="36">
        <v>6.078413369057686</v>
      </c>
      <c r="AE16" s="36">
        <v>6.443197724496331</v>
      </c>
      <c r="AF16" s="36">
        <v>6.154216823071281</v>
      </c>
      <c r="AG16" s="36">
        <v>6.9643354006442095</v>
      </c>
      <c r="AH16" s="36">
        <v>7.268841846912379</v>
      </c>
      <c r="AI16" s="31">
        <v>6.915709899387488</v>
      </c>
      <c r="AJ16" s="31">
        <v>6.804823095580582</v>
      </c>
      <c r="AK16" s="31">
        <v>6.936462527108978</v>
      </c>
      <c r="AL16" s="31">
        <v>6.699126251061792</v>
      </c>
      <c r="AM16" s="31">
        <v>6.643726296605545</v>
      </c>
      <c r="AN16" s="31">
        <v>6.917265605479587</v>
      </c>
      <c r="AO16" s="31">
        <v>6.68862281348541</v>
      </c>
      <c r="AP16" s="31">
        <v>6.839676805412857</v>
      </c>
      <c r="AQ16" s="31">
        <v>6.746625104528126</v>
      </c>
      <c r="AR16" s="31">
        <v>6.867930190482155</v>
      </c>
      <c r="AS16" s="31">
        <v>7.010573621118486</v>
      </c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3">J18</f>
        <v>1868478.553</v>
      </c>
      <c r="G18" s="31">
        <f t="shared" si="13"/>
        <v>1686562.821</v>
      </c>
      <c r="H18" s="32">
        <f t="shared" ref="H18:H19" si="15">IFERROR(F18/G18-1,"-")</f>
        <v>0.1078618176</v>
      </c>
      <c r="I18" s="30"/>
      <c r="J18" s="31">
        <v>1868478.55288185</v>
      </c>
      <c r="K18" s="31">
        <v>1686562.82149657</v>
      </c>
      <c r="L18" s="31">
        <v>1494950.90148422</v>
      </c>
      <c r="M18" s="31">
        <v>1297617.48754701</v>
      </c>
      <c r="N18" s="31">
        <v>1166075.83986544</v>
      </c>
      <c r="O18" s="31">
        <v>1110023.96831364</v>
      </c>
      <c r="P18" s="31">
        <v>945478.181242706</v>
      </c>
      <c r="Q18" s="31">
        <v>879637.444219122</v>
      </c>
      <c r="R18" s="31">
        <v>729930.163624449</v>
      </c>
      <c r="S18" s="31">
        <v>648616.41203801</v>
      </c>
      <c r="T18" s="31">
        <v>609826.230811608</v>
      </c>
      <c r="U18" s="31">
        <v>503668.251743192</v>
      </c>
      <c r="V18" s="31">
        <v>476552.056364939</v>
      </c>
      <c r="W18" s="31">
        <v>535835.986658029</v>
      </c>
      <c r="X18" s="31">
        <v>531589.133004106</v>
      </c>
      <c r="Y18" s="31">
        <v>501138.488832485</v>
      </c>
      <c r="Z18" s="31">
        <v>559513.280609512</v>
      </c>
      <c r="AA18" s="31">
        <v>683002.489570619</v>
      </c>
      <c r="AB18" s="31">
        <v>621872.194905819</v>
      </c>
      <c r="AC18" s="31">
        <v>561068.22851019</v>
      </c>
      <c r="AD18" s="31">
        <v>431302.859426135</v>
      </c>
      <c r="AE18" s="31"/>
      <c r="AF18" s="31"/>
      <c r="AG18" s="31"/>
      <c r="AH18" s="31"/>
      <c r="AI18" s="31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>
        <f t="shared" ref="F19:G19" si="14">J19</f>
        <v>0.02103410002</v>
      </c>
      <c r="G19" s="40">
        <f t="shared" si="14"/>
        <v>0.02162445872</v>
      </c>
      <c r="H19" s="32">
        <f t="shared" si="15"/>
        <v>-0.02730050779</v>
      </c>
      <c r="I19" s="30"/>
      <c r="J19" s="58">
        <v>0.0210341000182974</v>
      </c>
      <c r="K19" s="58">
        <v>0.0216244587221797</v>
      </c>
      <c r="L19" s="58">
        <v>0.0227528067804957</v>
      </c>
      <c r="M19" s="58">
        <v>0.0211462161694966</v>
      </c>
      <c r="N19" s="58">
        <v>0.0206370413754776</v>
      </c>
      <c r="O19" s="58">
        <v>0.0196739390019497</v>
      </c>
      <c r="P19" s="58">
        <v>0.0169597819048224</v>
      </c>
      <c r="Q19" s="58">
        <v>0.0153441208633038</v>
      </c>
      <c r="R19" s="58">
        <v>0.0143594482406712</v>
      </c>
      <c r="S19" s="58">
        <v>0.0137554601303358</v>
      </c>
      <c r="T19" s="58">
        <v>0.0136490474943687</v>
      </c>
      <c r="U19" s="58">
        <v>0.012903776988745</v>
      </c>
      <c r="V19" s="58">
        <v>0.0125124393156646</v>
      </c>
      <c r="W19" s="58">
        <v>0.0115200334293793</v>
      </c>
      <c r="X19" s="58">
        <v>0.0124740490064678</v>
      </c>
      <c r="Y19" s="58">
        <v>0.0129355700815302</v>
      </c>
      <c r="Z19" s="58">
        <v>0.015714456356165</v>
      </c>
      <c r="AA19" s="58">
        <v>0.0182551536173758</v>
      </c>
      <c r="AB19" s="58">
        <v>0.0166664807695649</v>
      </c>
      <c r="AC19" s="58">
        <v>0.0156330528468791</v>
      </c>
      <c r="AD19" s="36">
        <v>0.0124515456795487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6">J21</f>
        <v>1867517.519</v>
      </c>
      <c r="G21" s="31">
        <f t="shared" si="16"/>
        <v>1684892.256</v>
      </c>
      <c r="H21" s="32">
        <f t="shared" ref="H21:H22" si="18">IFERROR(F21/G21-1,"-")</f>
        <v>0.108389876</v>
      </c>
      <c r="I21" s="30"/>
      <c r="J21" s="31">
        <v>1867517.51869634</v>
      </c>
      <c r="K21" s="31">
        <v>1684892.2559648</v>
      </c>
      <c r="L21" s="31">
        <v>1493125.40713726</v>
      </c>
      <c r="M21" s="31">
        <v>1295986.88187859</v>
      </c>
      <c r="N21" s="31">
        <v>1164798.81048639</v>
      </c>
      <c r="O21" s="31">
        <v>1109239.98361458</v>
      </c>
      <c r="P21" s="31">
        <v>945165.61660465</v>
      </c>
      <c r="Q21" s="31">
        <v>896788.320093829</v>
      </c>
      <c r="R21" s="31">
        <v>746525.183660053</v>
      </c>
      <c r="S21" s="31">
        <v>650410.713837138</v>
      </c>
      <c r="T21" s="31">
        <v>582428.913334823</v>
      </c>
      <c r="U21" s="31">
        <v>474227.410257736</v>
      </c>
      <c r="V21" s="31">
        <v>462051.489992304</v>
      </c>
      <c r="W21" s="31">
        <v>521270.328611374</v>
      </c>
      <c r="X21" s="31">
        <v>477258.994748038</v>
      </c>
      <c r="Y21" s="31">
        <v>407244.273174865</v>
      </c>
      <c r="Z21" s="31">
        <v>384615.73267069</v>
      </c>
      <c r="AA21" s="31">
        <v>374544.709823403</v>
      </c>
      <c r="AB21" s="31">
        <v>362787.495500035</v>
      </c>
      <c r="AC21" s="31">
        <v>336015.511665387</v>
      </c>
      <c r="AD21" s="31">
        <v>311980.288631927</v>
      </c>
      <c r="AE21" s="31"/>
      <c r="AF21" s="31"/>
      <c r="AG21" s="31"/>
      <c r="AH21" s="31"/>
      <c r="AI21" s="31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26"/>
      <c r="B22" s="27"/>
      <c r="C22" s="28" t="s">
        <v>21</v>
      </c>
      <c r="D22" s="39" t="s">
        <v>10</v>
      </c>
      <c r="E22" s="30"/>
      <c r="F22" s="40">
        <f t="shared" ref="F22:G22" si="17">J22</f>
        <v>0.02102328133</v>
      </c>
      <c r="G22" s="40">
        <f t="shared" si="17"/>
        <v>0.02160303937</v>
      </c>
      <c r="H22" s="32">
        <f t="shared" si="18"/>
        <v>-0.026836874</v>
      </c>
      <c r="I22" s="30"/>
      <c r="J22" s="58">
        <v>0.0210232813288627</v>
      </c>
      <c r="K22" s="58">
        <v>0.0216030393745432</v>
      </c>
      <c r="L22" s="58">
        <v>0.0227250231789647</v>
      </c>
      <c r="M22" s="58">
        <v>0.0211196435159353</v>
      </c>
      <c r="N22" s="58">
        <v>0.0206144406944308</v>
      </c>
      <c r="O22" s="58">
        <v>0.019660043746002</v>
      </c>
      <c r="P22" s="58">
        <v>0.0169541751883505</v>
      </c>
      <c r="Q22" s="58">
        <v>0.0156432953857874</v>
      </c>
      <c r="R22" s="58">
        <v>0.0146859114328085</v>
      </c>
      <c r="S22" s="58">
        <v>0.0137935125853796</v>
      </c>
      <c r="T22" s="58">
        <v>0.0130358444726468</v>
      </c>
      <c r="U22" s="58">
        <v>0.0121495145321091</v>
      </c>
      <c r="V22" s="58">
        <v>0.0121317097513766</v>
      </c>
      <c r="W22" s="58">
        <v>0.0112068837496332</v>
      </c>
      <c r="X22" s="36">
        <v>0.0111991606292271</v>
      </c>
      <c r="Y22" s="36">
        <v>0.0105119382233604</v>
      </c>
      <c r="Z22" s="36">
        <v>0.0108022943411885</v>
      </c>
      <c r="AA22" s="36">
        <v>0.0100107559178885</v>
      </c>
      <c r="AB22" s="36">
        <v>0.00972288336208</v>
      </c>
      <c r="AC22" s="36">
        <v>0.00936240546926768</v>
      </c>
      <c r="AD22" s="36">
        <v>0.0090067495035574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7"/>
      <c r="AZ22" s="37"/>
      <c r="BA22" s="37"/>
      <c r="BB22" s="37"/>
      <c r="BC22" s="37"/>
      <c r="BD22" s="37"/>
      <c r="BE22" s="37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19">J24</f>
        <v>13192511.73</v>
      </c>
      <c r="G24" s="31">
        <f t="shared" si="19"/>
        <v>11219585.3</v>
      </c>
      <c r="H24" s="32">
        <f t="shared" ref="H24:H26" si="21">IFERROR(F24/G24-1,"-")</f>
        <v>0.1758466444</v>
      </c>
      <c r="I24" s="30"/>
      <c r="J24" s="31">
        <v>1.3192511726019908E7</v>
      </c>
      <c r="K24" s="31">
        <v>1.1219585299532408E7</v>
      </c>
      <c r="L24" s="31">
        <v>9461217.191453263</v>
      </c>
      <c r="M24" s="31">
        <v>8892520.858402072</v>
      </c>
      <c r="N24" s="31">
        <v>8395965.074876873</v>
      </c>
      <c r="O24" s="31">
        <v>8418347.36062467</v>
      </c>
      <c r="P24" s="31">
        <v>8254492.474361784</v>
      </c>
      <c r="Q24" s="31">
        <v>8434179.85277298</v>
      </c>
      <c r="R24" s="31">
        <v>7662937.080255677</v>
      </c>
      <c r="S24" s="31">
        <v>7129938.31112585</v>
      </c>
      <c r="T24" s="31">
        <v>6705562.339939126</v>
      </c>
      <c r="U24" s="31">
        <v>5831534.752918857</v>
      </c>
      <c r="V24" s="31">
        <v>4288962.784882466</v>
      </c>
      <c r="W24" s="31">
        <v>5232737.3587438185</v>
      </c>
      <c r="X24" s="31">
        <v>4614645.8206325425</v>
      </c>
      <c r="Y24" s="31">
        <v>4221201.278017081</v>
      </c>
      <c r="Z24" s="31">
        <v>3805089.619886666</v>
      </c>
      <c r="AA24" s="31">
        <v>4009946.370122376</v>
      </c>
      <c r="AB24" s="31">
        <v>4020113.584588783</v>
      </c>
      <c r="AC24" s="31">
        <v>3855310.083299536</v>
      </c>
      <c r="AD24" s="31">
        <v>3667074.011501294</v>
      </c>
      <c r="AE24" s="31">
        <v>3279764.3162859124</v>
      </c>
      <c r="AF24" s="31">
        <v>3092041.4896555324</v>
      </c>
      <c r="AG24" s="31">
        <v>3415907.631312541</v>
      </c>
      <c r="AH24" s="31">
        <v>3798815.77863031</v>
      </c>
      <c r="AI24" s="31">
        <v>4224007.833185309</v>
      </c>
      <c r="AJ24" s="31">
        <v>3595577.8657283233</v>
      </c>
      <c r="AK24" s="31">
        <v>3584912.8198776175</v>
      </c>
      <c r="AL24" s="36">
        <v>3547142.466351361</v>
      </c>
      <c r="AM24" s="36">
        <v>3406800.5004599597</v>
      </c>
      <c r="AN24" s="36">
        <v>2988043.993409677</v>
      </c>
      <c r="AO24" s="36">
        <v>2682492.305642939</v>
      </c>
      <c r="AP24" s="36">
        <v>2509343.332489585</v>
      </c>
      <c r="AQ24" s="36">
        <v>2407089.1905210246</v>
      </c>
      <c r="AR24" s="36">
        <v>2324047.7198684155</v>
      </c>
      <c r="AS24" s="36">
        <v>2457117.735687949</v>
      </c>
      <c r="AT24" s="36">
        <v>2616259.39950687</v>
      </c>
      <c r="AU24" s="36">
        <v>3426235.6112519344</v>
      </c>
      <c r="AV24" s="36">
        <v>2879804.4480022015</v>
      </c>
      <c r="AW24" s="36">
        <v>3413380.722141469</v>
      </c>
      <c r="AX24" s="36">
        <v>2830475.3187495642</v>
      </c>
      <c r="AY24" s="37">
        <v>2783048.3857194493</v>
      </c>
      <c r="AZ24" s="37">
        <v>3026856.393927241</v>
      </c>
      <c r="BA24" s="37">
        <v>2884000.1214609575</v>
      </c>
      <c r="BB24" s="37">
        <v>2672896.229281467</v>
      </c>
      <c r="BC24" s="37">
        <v>2423862.8232515175</v>
      </c>
      <c r="BD24" s="37">
        <v>2136463.777211953</v>
      </c>
      <c r="BE24" s="37">
        <v>1791108.006221651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20">J25</f>
        <v>0.1485126017</v>
      </c>
      <c r="G25" s="40">
        <f t="shared" si="20"/>
        <v>0.1438532002</v>
      </c>
      <c r="H25" s="50">
        <f t="shared" si="21"/>
        <v>0.03238997479</v>
      </c>
      <c r="I25" s="49"/>
      <c r="J25" s="40">
        <v>0.1485126017152691</v>
      </c>
      <c r="K25" s="40">
        <v>0.14385320018760198</v>
      </c>
      <c r="L25" s="40">
        <v>0.1439975362747472</v>
      </c>
      <c r="M25" s="40">
        <v>0.14491417553180552</v>
      </c>
      <c r="N25" s="40">
        <v>0.1485905742265379</v>
      </c>
      <c r="O25" s="40">
        <v>0.14920583446659152</v>
      </c>
      <c r="P25" s="40">
        <v>0.14806729005228872</v>
      </c>
      <c r="Q25" s="40">
        <v>0.14712319932978263</v>
      </c>
      <c r="R25" s="40">
        <v>0.15074804941485512</v>
      </c>
      <c r="S25" s="40">
        <v>0.15120737056634737</v>
      </c>
      <c r="T25" s="40">
        <v>0.1500829813969647</v>
      </c>
      <c r="U25" s="40">
        <v>0.14940156282105455</v>
      </c>
      <c r="V25" s="40">
        <v>0.11261180359253246</v>
      </c>
      <c r="W25" s="40">
        <v>0.11249955359635536</v>
      </c>
      <c r="X25" s="40">
        <v>0.10828535524938507</v>
      </c>
      <c r="Y25" s="40">
        <v>0.1089591922728712</v>
      </c>
      <c r="Z25" s="40">
        <v>0.10686951826749716</v>
      </c>
      <c r="AA25" s="40">
        <v>0.1071770426928347</v>
      </c>
      <c r="AB25" s="40">
        <v>0.10774102186569516</v>
      </c>
      <c r="AC25" s="40">
        <v>0.10742056529089837</v>
      </c>
      <c r="AD25" s="40">
        <v>0.1058669994102232</v>
      </c>
      <c r="AE25" s="40">
        <v>0.10604363162111648</v>
      </c>
      <c r="AF25" s="40">
        <v>0.10667041799012607</v>
      </c>
      <c r="AG25" s="40">
        <v>0.115849078919004</v>
      </c>
      <c r="AH25" s="40">
        <v>0.14583874827821086</v>
      </c>
      <c r="AI25" s="40">
        <v>0.14768775904169754</v>
      </c>
      <c r="AJ25" s="40">
        <v>0.1464826444027451</v>
      </c>
      <c r="AK25" s="40">
        <v>0.14717043507668817</v>
      </c>
      <c r="AL25" s="40">
        <v>0.14453770055457651</v>
      </c>
      <c r="AM25" s="40">
        <v>0.14343367521818773</v>
      </c>
      <c r="AN25" s="40">
        <v>0.1456818726475174</v>
      </c>
      <c r="AO25" s="40">
        <v>0.14039899683964</v>
      </c>
      <c r="AP25" s="40">
        <v>0.14035396736335817</v>
      </c>
      <c r="AQ25" s="40">
        <v>0.13716767818806544</v>
      </c>
      <c r="AR25" s="40">
        <v>0.1371866906727454</v>
      </c>
      <c r="AS25" s="40">
        <v>0.14122334571837103</v>
      </c>
      <c r="AT25" s="40">
        <v>0.15137666574098507</v>
      </c>
      <c r="AU25" s="40">
        <v>0.1494312026060702</v>
      </c>
      <c r="AV25" s="40">
        <v>0.1466269881216697</v>
      </c>
      <c r="AW25" s="40">
        <v>0.14900271837782408</v>
      </c>
      <c r="AX25" s="40">
        <v>0.13609363180645798</v>
      </c>
      <c r="AY25" s="51">
        <v>0.13552280863457902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2">J26</f>
        <v>14177002.15</v>
      </c>
      <c r="G26" s="31">
        <f t="shared" si="22"/>
        <v>12339476.07</v>
      </c>
      <c r="H26" s="32">
        <f t="shared" si="21"/>
        <v>0.1489144322</v>
      </c>
      <c r="I26" s="30"/>
      <c r="J26" s="31">
        <v>1.4177002147221524E7</v>
      </c>
      <c r="K26" s="31">
        <v>1.2339476074368674E7</v>
      </c>
      <c r="L26" s="31">
        <v>1.0302576902966507E7</v>
      </c>
      <c r="M26" s="31">
        <v>9886402.900314337</v>
      </c>
      <c r="N26" s="31">
        <v>9290423.17165212</v>
      </c>
      <c r="O26" s="31">
        <v>9119486.862590255</v>
      </c>
      <c r="P26" s="31">
        <v>7908857.414933041</v>
      </c>
      <c r="Q26" s="31">
        <v>7720877.51859499</v>
      </c>
      <c r="R26" s="31">
        <v>7061931.2287076125</v>
      </c>
      <c r="S26" s="31">
        <v>6899241.290047208</v>
      </c>
      <c r="T26" s="31">
        <v>6271674.603185192</v>
      </c>
      <c r="U26" s="31">
        <v>5893005.2417109655</v>
      </c>
      <c r="V26" s="31">
        <v>5449764.237306286</v>
      </c>
      <c r="W26" s="31">
        <v>6696587.042461044</v>
      </c>
      <c r="X26" s="31">
        <v>6039213.391072797</v>
      </c>
      <c r="Y26" s="31">
        <v>5742442.114536861</v>
      </c>
      <c r="Z26" s="31">
        <v>5129293.427875429</v>
      </c>
      <c r="AA26" s="31">
        <v>5263452.253125611</v>
      </c>
      <c r="AB26" s="31">
        <v>5298795.881922709</v>
      </c>
      <c r="AC26" s="31">
        <v>5101931.383787268</v>
      </c>
      <c r="AD26" s="31">
        <v>4940321.742151174</v>
      </c>
      <c r="AE26" s="31">
        <v>5121341.036794791</v>
      </c>
      <c r="AF26" s="31">
        <v>4624956.834091663</v>
      </c>
      <c r="AG26" s="31">
        <v>4542844.475474768</v>
      </c>
      <c r="AH26" s="31">
        <v>3932459.9884504597</v>
      </c>
      <c r="AI26" s="31">
        <v>4647658.551477943</v>
      </c>
      <c r="AJ26" s="31">
        <v>3938996.669411844</v>
      </c>
      <c r="AK26" s="31">
        <v>4038623.7186927865</v>
      </c>
      <c r="AL26" s="36">
        <v>3872962.607055869</v>
      </c>
      <c r="AM26" s="36">
        <v>3602720.292142151</v>
      </c>
      <c r="AN26" s="36">
        <v>3259114.7590244096</v>
      </c>
      <c r="AO26" s="36">
        <v>2312563.831541666</v>
      </c>
      <c r="AP26" s="36">
        <v>2182554.4493467007</v>
      </c>
      <c r="AQ26" s="36">
        <v>1893256.7020568436</v>
      </c>
      <c r="AR26" s="36">
        <v>1811630.6304237177</v>
      </c>
      <c r="AS26" s="36">
        <v>1706348.194835875</v>
      </c>
      <c r="AT26" s="36">
        <v>1628082.977876157</v>
      </c>
      <c r="AU26" s="36">
        <v>2050298.4057215133</v>
      </c>
      <c r="AV26" s="36">
        <v>1679805.2625629222</v>
      </c>
      <c r="AW26" s="36">
        <v>2670513.7084312667</v>
      </c>
      <c r="AX26" s="36">
        <v>2688420.3868596703</v>
      </c>
      <c r="AY26" s="37">
        <v>2979988.781636768</v>
      </c>
      <c r="AZ26" s="37">
        <v>3010416.764961221</v>
      </c>
      <c r="BA26" s="37">
        <v>2717068.2087006625</v>
      </c>
      <c r="BB26" s="37">
        <v>3427188.4964764966</v>
      </c>
      <c r="BC26" s="37">
        <v>3288341.553511573</v>
      </c>
      <c r="BD26" s="37">
        <v>2928466.392548934</v>
      </c>
      <c r="BE26" s="37">
        <v>2672350.136147774</v>
      </c>
    </row>
    <row r="27">
      <c r="D27" s="3"/>
      <c r="F27" s="4"/>
      <c r="G27" s="4"/>
      <c r="H27" s="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54"/>
      <c r="AB27" s="54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>
        <f t="shared" ref="F29:G29" si="23">J29</f>
        <v>1</v>
      </c>
      <c r="G29" s="55">
        <f t="shared" si="23"/>
        <v>1</v>
      </c>
      <c r="H29" s="56">
        <f t="shared" ref="H29:H37" si="25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40">
        <v>1.0</v>
      </c>
      <c r="Y29" s="40">
        <v>1.0</v>
      </c>
      <c r="Z29" s="40">
        <v>1.0</v>
      </c>
      <c r="AA29" s="40">
        <v>1.0</v>
      </c>
      <c r="AB29" s="40">
        <v>1.0</v>
      </c>
      <c r="AC29" s="40">
        <v>1.0</v>
      </c>
      <c r="AD29" s="40">
        <v>1.0</v>
      </c>
      <c r="AE29" s="40">
        <v>1.0</v>
      </c>
      <c r="AF29" s="40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4">J30</f>
        <v>0.4160446786</v>
      </c>
      <c r="G30" s="55">
        <f t="shared" si="24"/>
        <v>0.3987958114</v>
      </c>
      <c r="H30" s="32">
        <f t="shared" si="25"/>
        <v>0.04325237805</v>
      </c>
      <c r="I30" s="30"/>
      <c r="J30" s="40">
        <v>0.41604467855713484</v>
      </c>
      <c r="K30" s="40">
        <v>0.39879581135813036</v>
      </c>
      <c r="L30" s="40">
        <v>0.401796318397357</v>
      </c>
      <c r="M30" s="40">
        <v>0.3868160029575305</v>
      </c>
      <c r="N30" s="40">
        <v>0.4059002515297788</v>
      </c>
      <c r="O30" s="40">
        <v>0.40685158519158005</v>
      </c>
      <c r="P30" s="40">
        <v>0.42543980035183526</v>
      </c>
      <c r="Q30" s="40">
        <v>0.4289028745227224</v>
      </c>
      <c r="R30" s="40">
        <v>0.4257435327092095</v>
      </c>
      <c r="S30" s="40">
        <v>0.4339438847567536</v>
      </c>
      <c r="T30" s="40">
        <v>0.44025605187828587</v>
      </c>
      <c r="U30" s="40">
        <v>0.4429863463392544</v>
      </c>
      <c r="V30" s="40">
        <v>0.44873125771952743</v>
      </c>
      <c r="W30" s="40">
        <v>0.4266872960474072</v>
      </c>
      <c r="X30" s="40">
        <v>0.4094790557877072</v>
      </c>
      <c r="Y30" s="40">
        <v>0.4071555567057447</v>
      </c>
      <c r="Z30" s="40">
        <v>0.40417186303590596</v>
      </c>
      <c r="AA30" s="40">
        <v>0.3988980473587826</v>
      </c>
      <c r="AB30" s="40">
        <v>0.3944453321181572</v>
      </c>
      <c r="AC30" s="40">
        <v>0.38798894339637074</v>
      </c>
      <c r="AD30" s="40">
        <v>0.3822019698920426</v>
      </c>
      <c r="AE30" s="40">
        <v>0.3716275465267999</v>
      </c>
      <c r="AF30" s="40">
        <v>0.37100913243031314</v>
      </c>
      <c r="AG30" s="31">
        <v>0.3821742782234899</v>
      </c>
      <c r="AH30" s="31">
        <v>0.36636324524196884</v>
      </c>
      <c r="AI30" s="31">
        <v>0.3515560055826649</v>
      </c>
      <c r="AJ30" s="31">
        <v>0.34677670112924613</v>
      </c>
      <c r="AK30" s="31">
        <v>0.36212537623649527</v>
      </c>
      <c r="AL30" s="31">
        <v>0.361922936070245</v>
      </c>
      <c r="AM30" s="31">
        <v>0.35242907876672724</v>
      </c>
      <c r="AN30" s="31">
        <v>0.358873241741694</v>
      </c>
      <c r="AO30" s="31">
        <v>0.3528710069231732</v>
      </c>
      <c r="AP30" s="31">
        <v>0.34676748568140014</v>
      </c>
      <c r="AQ30" s="31">
        <v>0.34542434541351535</v>
      </c>
      <c r="AR30" s="31">
        <v>0.3484812288584637</v>
      </c>
      <c r="AS30" s="31">
        <v>0.3458437447623324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6">J31</f>
        <v>0.1453730522</v>
      </c>
      <c r="G31" s="55">
        <f t="shared" si="26"/>
        <v>0.1567019442</v>
      </c>
      <c r="H31" s="32">
        <f t="shared" si="25"/>
        <v>-0.07229579744</v>
      </c>
      <c r="I31" s="30"/>
      <c r="J31" s="40">
        <v>0.1453730522166747</v>
      </c>
      <c r="K31" s="40">
        <v>0.15670194423532657</v>
      </c>
      <c r="L31" s="40">
        <v>0.1443760512428708</v>
      </c>
      <c r="M31" s="40">
        <v>0.1459106829392082</v>
      </c>
      <c r="N31" s="40">
        <v>0.14130769617628153</v>
      </c>
      <c r="O31" s="40">
        <v>0.14070206874618799</v>
      </c>
      <c r="P31" s="40">
        <v>0.09301079951027147</v>
      </c>
      <c r="Q31" s="40">
        <v>0.09096013201449034</v>
      </c>
      <c r="R31" s="40">
        <v>0.08608397128082221</v>
      </c>
      <c r="S31" s="40">
        <v>0.0888562652441168</v>
      </c>
      <c r="T31" s="40">
        <v>0.0765730247988302</v>
      </c>
      <c r="U31" s="40">
        <v>0.07934142309888392</v>
      </c>
      <c r="V31" s="40">
        <v>0.07727379307627022</v>
      </c>
      <c r="W31" s="40">
        <v>0.07968590053460232</v>
      </c>
      <c r="X31" s="40">
        <v>0.08167348942847232</v>
      </c>
      <c r="Y31" s="40">
        <v>0.08404176055368143</v>
      </c>
      <c r="Z31" s="40">
        <v>0.0848210961261488</v>
      </c>
      <c r="AA31" s="40">
        <v>0.08649719377648211</v>
      </c>
      <c r="AB31" s="40">
        <v>0.07946987716527516</v>
      </c>
      <c r="AC31" s="40">
        <v>0.08204449689109958</v>
      </c>
      <c r="AD31" s="40">
        <v>0.07509098919746647</v>
      </c>
      <c r="AE31" s="40">
        <v>0.07874795745199603</v>
      </c>
      <c r="AF31" s="40">
        <v>0.07597112168885341</v>
      </c>
      <c r="AG31" s="31">
        <v>0.0646545123699963</v>
      </c>
      <c r="AH31" s="31">
        <v>0.0721466022804141</v>
      </c>
      <c r="AI31" s="31">
        <v>0.06904436381725465</v>
      </c>
      <c r="AJ31" s="31">
        <v>0.06525409139758301</v>
      </c>
      <c r="AK31" s="31">
        <v>0.062434814303983316</v>
      </c>
      <c r="AL31" s="31">
        <v>0.06794987339182607</v>
      </c>
      <c r="AM31" s="31">
        <v>0.06871434563674106</v>
      </c>
      <c r="AN31" s="31">
        <v>0.06553245356451178</v>
      </c>
      <c r="AO31" s="31">
        <v>0.062475322162475325</v>
      </c>
      <c r="AP31" s="31">
        <v>0.06822883602356139</v>
      </c>
      <c r="AQ31" s="31">
        <v>0.06265831234927184</v>
      </c>
      <c r="AR31" s="31">
        <v>0.05912308984557436</v>
      </c>
      <c r="AS31" s="31">
        <v>0.05626469129060478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27">J32</f>
        <v>0.1683390886</v>
      </c>
      <c r="G32" s="55">
        <f t="shared" si="27"/>
        <v>0.1586165383</v>
      </c>
      <c r="H32" s="32">
        <f t="shared" si="25"/>
        <v>0.06129594297</v>
      </c>
      <c r="I32" s="30"/>
      <c r="J32" s="40">
        <v>0.16833908855391974</v>
      </c>
      <c r="K32" s="40">
        <v>0.15861653827025965</v>
      </c>
      <c r="L32" s="40">
        <v>0.17138865805222833</v>
      </c>
      <c r="M32" s="40">
        <v>0.16741825939482652</v>
      </c>
      <c r="N32" s="40">
        <v>0.16743914962022377</v>
      </c>
      <c r="O32" s="40">
        <v>0.1657354920275228</v>
      </c>
      <c r="P32" s="40">
        <v>0.17643126286686472</v>
      </c>
      <c r="Q32" s="40">
        <v>0.17141559997957254</v>
      </c>
      <c r="R32" s="40">
        <v>0.17751312113723897</v>
      </c>
      <c r="S32" s="40">
        <v>0.1660713016407906</v>
      </c>
      <c r="T32" s="40">
        <v>0.16881283664239807</v>
      </c>
      <c r="U32" s="40">
        <v>0.17700785068197258</v>
      </c>
      <c r="V32" s="40">
        <v>0.17496757942672975</v>
      </c>
      <c r="W32" s="40">
        <v>0.1820613355887695</v>
      </c>
      <c r="X32" s="40">
        <v>0.1972899744048275</v>
      </c>
      <c r="Y32" s="40">
        <v>0.19133263648603444</v>
      </c>
      <c r="Z32" s="40">
        <v>0.18935015286650989</v>
      </c>
      <c r="AA32" s="40">
        <v>0.18539432759622307</v>
      </c>
      <c r="AB32" s="40">
        <v>0.1979363135778948</v>
      </c>
      <c r="AC32" s="40">
        <v>0.20223842383236929</v>
      </c>
      <c r="AD32" s="40">
        <v>0.21559428467701805</v>
      </c>
      <c r="AE32" s="40">
        <v>0.2261016551192269</v>
      </c>
      <c r="AF32" s="40">
        <v>0.23338541345106614</v>
      </c>
      <c r="AG32" s="31">
        <v>0.2292690579441057</v>
      </c>
      <c r="AH32" s="31">
        <v>0.23129368974669115</v>
      </c>
      <c r="AI32" s="31">
        <v>0.23732977467445754</v>
      </c>
      <c r="AJ32" s="31">
        <v>0.22827652496436526</v>
      </c>
      <c r="AK32" s="31">
        <v>0.2419890029019587</v>
      </c>
      <c r="AL32" s="31">
        <v>0.2313686636650033</v>
      </c>
      <c r="AM32" s="31">
        <v>0.23354183880645776</v>
      </c>
      <c r="AN32" s="31">
        <v>0.2170598397089978</v>
      </c>
      <c r="AO32" s="31">
        <v>0.195276258446162</v>
      </c>
      <c r="AP32" s="31">
        <v>0.19583503672447136</v>
      </c>
      <c r="AQ32" s="31">
        <v>0.18924361444508042</v>
      </c>
      <c r="AR32" s="31">
        <v>0.19293271358102773</v>
      </c>
      <c r="AS32" s="31">
        <v>0.1930391469910382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28">J33</f>
        <v>0.05083251725</v>
      </c>
      <c r="G33" s="55">
        <f t="shared" si="28"/>
        <v>0.04977078565</v>
      </c>
      <c r="H33" s="32">
        <f t="shared" si="25"/>
        <v>0.02133242594</v>
      </c>
      <c r="I33" s="30"/>
      <c r="J33" s="40">
        <v>0.05083251725361048</v>
      </c>
      <c r="K33" s="40">
        <v>0.04977078565452464</v>
      </c>
      <c r="L33" s="40">
        <v>0.048813195865829294</v>
      </c>
      <c r="M33" s="40">
        <v>0.04700433877098343</v>
      </c>
      <c r="N33" s="40">
        <v>0.04334464057262739</v>
      </c>
      <c r="O33" s="40">
        <v>0.045476390658720625</v>
      </c>
      <c r="P33" s="40">
        <v>0.051772002895709025</v>
      </c>
      <c r="Q33" s="40">
        <v>0.05309398232450382</v>
      </c>
      <c r="R33" s="40">
        <v>0.05545121884548895</v>
      </c>
      <c r="S33" s="40">
        <v>0.05637895787944282</v>
      </c>
      <c r="T33" s="40">
        <v>0.06047191600055544</v>
      </c>
      <c r="U33" s="40">
        <v>0.058636879380358886</v>
      </c>
      <c r="V33" s="40">
        <v>0.05893170652616865</v>
      </c>
      <c r="W33" s="40">
        <v>0.06276586035419382</v>
      </c>
      <c r="X33" s="40">
        <v>0.06430065506862444</v>
      </c>
      <c r="Y33" s="40">
        <v>0.06826857273468695</v>
      </c>
      <c r="Z33" s="40">
        <v>0.06823392553987417</v>
      </c>
      <c r="AA33" s="40">
        <v>0.06747915842333777</v>
      </c>
      <c r="AB33" s="40">
        <v>0.06808017263570892</v>
      </c>
      <c r="AC33" s="40">
        <v>0.06936476761387256</v>
      </c>
      <c r="AD33" s="40">
        <v>0.06584028334426432</v>
      </c>
      <c r="AE33" s="40">
        <v>0.06352863162564018</v>
      </c>
      <c r="AF33" s="40">
        <v>0.06573416176718697</v>
      </c>
      <c r="AG33" s="31">
        <v>0.06511017962869747</v>
      </c>
      <c r="AH33" s="31">
        <v>0.06682370828510058</v>
      </c>
      <c r="AI33" s="31">
        <v>0.06286819979610196</v>
      </c>
      <c r="AJ33" s="31">
        <v>0.0612218666308128</v>
      </c>
      <c r="AK33" s="31">
        <v>0.06366656536868116</v>
      </c>
      <c r="AL33" s="31">
        <v>0.06536228080621576</v>
      </c>
      <c r="AM33" s="31">
        <v>0.06603551070326824</v>
      </c>
      <c r="AN33" s="31">
        <v>0.06700167805143238</v>
      </c>
      <c r="AO33" s="31">
        <v>0.06304238231217459</v>
      </c>
      <c r="AP33" s="31">
        <v>0.06096993169427077</v>
      </c>
      <c r="AQ33" s="31">
        <v>0.05868131648375677</v>
      </c>
      <c r="AR33" s="31">
        <v>0.05771187129228526</v>
      </c>
      <c r="AS33" s="31">
        <v>0.05519878922338825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29">J34</f>
        <v>0.03153217333</v>
      </c>
      <c r="G34" s="55">
        <f t="shared" si="29"/>
        <v>0.03301028829</v>
      </c>
      <c r="H34" s="32">
        <f t="shared" si="25"/>
        <v>-0.04477740237</v>
      </c>
      <c r="I34" s="30"/>
      <c r="J34" s="40">
        <v>0.031532173331610965</v>
      </c>
      <c r="K34" s="40">
        <v>0.033010288292767476</v>
      </c>
      <c r="L34" s="40">
        <v>0.03197975354636622</v>
      </c>
      <c r="M34" s="40">
        <v>0.033574982021939086</v>
      </c>
      <c r="N34" s="40">
        <v>0.036000750018716075</v>
      </c>
      <c r="O34" s="40">
        <v>0.03990764685686182</v>
      </c>
      <c r="P34" s="40">
        <v>0.04335995867337031</v>
      </c>
      <c r="Q34" s="40">
        <v>0.047146269081632476</v>
      </c>
      <c r="R34" s="40">
        <v>0.051445868710004644</v>
      </c>
      <c r="S34" s="40">
        <v>0.05506879925583917</v>
      </c>
      <c r="T34" s="40">
        <v>0.04957450606548895</v>
      </c>
      <c r="U34" s="40">
        <v>0.04511166355838477</v>
      </c>
      <c r="V34" s="40">
        <v>0.042082395311476596</v>
      </c>
      <c r="W34" s="40">
        <v>0.04469463767765343</v>
      </c>
      <c r="X34" s="40">
        <v>0.04947662571844876</v>
      </c>
      <c r="Y34" s="40">
        <v>0.053268375801313134</v>
      </c>
      <c r="Z34" s="40">
        <v>0.05749587946722331</v>
      </c>
      <c r="AA34" s="40">
        <v>0.05918242746921055</v>
      </c>
      <c r="AB34" s="40">
        <v>0.060351278338980255</v>
      </c>
      <c r="AC34" s="40">
        <v>0.06294791861948486</v>
      </c>
      <c r="AD34" s="40">
        <v>0.06679933250446167</v>
      </c>
      <c r="AE34" s="40">
        <v>0.06200935567765773</v>
      </c>
      <c r="AF34" s="40">
        <v>0.06427750092420542</v>
      </c>
      <c r="AG34" s="31">
        <v>0.06979539148906742</v>
      </c>
      <c r="AH34" s="31">
        <v>0.07020335592458306</v>
      </c>
      <c r="AI34" s="31">
        <v>0.06987607744616892</v>
      </c>
      <c r="AJ34" s="31">
        <v>0.06965567862068377</v>
      </c>
      <c r="AK34" s="31">
        <v>0.06440788378481713</v>
      </c>
      <c r="AL34" s="31">
        <v>0.06837202756373618</v>
      </c>
      <c r="AM34" s="31">
        <v>0.07176823137170661</v>
      </c>
      <c r="AN34" s="31">
        <v>0.07762397665635311</v>
      </c>
      <c r="AO34" s="31">
        <v>0.09732315989139749</v>
      </c>
      <c r="AP34" s="31">
        <v>0.10171942853543392</v>
      </c>
      <c r="AQ34" s="31">
        <v>0.10362310257208399</v>
      </c>
      <c r="AR34" s="31">
        <v>0.10472591333482582</v>
      </c>
      <c r="AS34" s="31">
        <v>0.10687675869858203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30">J35</f>
        <v>0.001884727704</v>
      </c>
      <c r="G35" s="55">
        <f t="shared" si="30"/>
        <v>0.002775336853</v>
      </c>
      <c r="H35" s="32">
        <f t="shared" si="25"/>
        <v>-0.3209012801</v>
      </c>
      <c r="I35" s="30"/>
      <c r="J35" s="40">
        <v>0.0018847277043653496</v>
      </c>
      <c r="K35" s="40">
        <v>0.0027753368532288177</v>
      </c>
      <c r="L35" s="40">
        <v>0.0024232605965645204</v>
      </c>
      <c r="M35" s="40">
        <v>0.0021726863069502942</v>
      </c>
      <c r="N35" s="40">
        <v>0.002208355474453529</v>
      </c>
      <c r="O35" s="40">
        <v>0.001965913744937046</v>
      </c>
      <c r="P35" s="40">
        <v>0.0020421003880412574</v>
      </c>
      <c r="Q35" s="40">
        <v>0.0017732152654960868</v>
      </c>
      <c r="R35" s="40">
        <v>0.001646557154268769</v>
      </c>
      <c r="S35" s="40">
        <v>0.0014690454431266597</v>
      </c>
      <c r="T35" s="40">
        <v>0.0015087366137094159</v>
      </c>
      <c r="U35" s="40">
        <v>0.00134842747241447</v>
      </c>
      <c r="V35" s="40">
        <v>0.0012252444376700917</v>
      </c>
      <c r="W35" s="40">
        <v>0.0015747461836514319</v>
      </c>
      <c r="X35" s="40">
        <v>0.0014529382992836443</v>
      </c>
      <c r="Y35" s="40">
        <v>0.0020277762321280475</v>
      </c>
      <c r="Z35" s="40">
        <v>0.002623180231709767</v>
      </c>
      <c r="AA35" s="40">
        <v>0.0033063784877989206</v>
      </c>
      <c r="AB35" s="40">
        <v>0.0028815672660010196</v>
      </c>
      <c r="AC35" s="40">
        <v>0.002357715205901823</v>
      </c>
      <c r="AD35" s="40">
        <v>0.0018656783311540672</v>
      </c>
      <c r="AE35" s="40">
        <v>0.001054122110281205</v>
      </c>
      <c r="AF35" s="40">
        <v>7.842284732992955E-4</v>
      </c>
      <c r="AG35" s="31">
        <v>5.642822528734673E-4</v>
      </c>
      <c r="AH35" s="31">
        <v>7.354343251037241E-4</v>
      </c>
      <c r="AI35" s="31">
        <v>6.295336168680597E-4</v>
      </c>
      <c r="AJ35" s="31">
        <v>4.789260544232508E-4</v>
      </c>
      <c r="AK35" s="31">
        <v>4.4852742661388555E-4</v>
      </c>
      <c r="AL35" s="31">
        <v>2.722626372055188E-4</v>
      </c>
      <c r="AM35" s="31">
        <v>1.5145777060900678E-4</v>
      </c>
      <c r="AN35" s="31">
        <v>9.27348893985681E-5</v>
      </c>
      <c r="AO35" s="31">
        <v>9.538082450966464E-5</v>
      </c>
      <c r="AP35" s="31">
        <v>6.576827640676674E-5</v>
      </c>
      <c r="AQ35" s="31">
        <v>6.478659584832069E-5</v>
      </c>
      <c r="AR35" s="31">
        <v>6.790297752084858E-5</v>
      </c>
      <c r="AS35" s="31">
        <v>5.2997004231606345E-5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1">J36</f>
        <v>0.07940459263</v>
      </c>
      <c r="G36" s="55">
        <f t="shared" si="31"/>
        <v>0.08574104407</v>
      </c>
      <c r="H36" s="32">
        <f t="shared" si="25"/>
        <v>-0.07390219597</v>
      </c>
      <c r="I36" s="30"/>
      <c r="J36" s="40">
        <v>0.07940459262758591</v>
      </c>
      <c r="K36" s="40">
        <v>0.08574104406934671</v>
      </c>
      <c r="L36" s="40">
        <v>0.054384087911324035</v>
      </c>
      <c r="M36" s="40">
        <v>0.04248476613509793</v>
      </c>
      <c r="N36" s="40">
        <v>0.030959392107753676</v>
      </c>
      <c r="O36" s="40">
        <v>0.020007031145138528</v>
      </c>
      <c r="P36" s="40">
        <v>0.013071437810470689</v>
      </c>
      <c r="Q36" s="40">
        <v>0.007491407844926121</v>
      </c>
      <c r="R36" s="40">
        <v>0.002223357443151013</v>
      </c>
      <c r="S36" s="40">
        <v>5.356105174756517E-4</v>
      </c>
      <c r="T36" s="40">
        <v>3.333077491232436E-4</v>
      </c>
      <c r="U36" s="40">
        <v>1.7649964821295084E-4</v>
      </c>
      <c r="V36" s="40">
        <v>1.5787458130674903E-5</v>
      </c>
      <c r="W36" s="40">
        <v>6.727777395545341E-6</v>
      </c>
      <c r="X36" s="40">
        <v>2.182998118084778E-4</v>
      </c>
      <c r="Y36" s="40">
        <v>2.4050376214464808E-4</v>
      </c>
      <c r="Z36" s="40">
        <v>0.0</v>
      </c>
      <c r="AA36" s="40">
        <v>0.0</v>
      </c>
      <c r="AB36" s="40">
        <v>0.0</v>
      </c>
      <c r="AC36" s="40">
        <v>0.0</v>
      </c>
      <c r="AD36" s="40">
        <v>0.0</v>
      </c>
      <c r="AE36" s="40">
        <v>0.0</v>
      </c>
      <c r="AF36" s="40">
        <v>0.0</v>
      </c>
      <c r="AG36" s="31">
        <v>0.0</v>
      </c>
      <c r="AH36" s="31">
        <v>0.0</v>
      </c>
      <c r="AI36" s="31">
        <v>0.0</v>
      </c>
      <c r="AJ36" s="31">
        <v>0.0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2">J37</f>
        <v>0.1065891698</v>
      </c>
      <c r="G37" s="55">
        <f t="shared" si="32"/>
        <v>0.1145882513</v>
      </c>
      <c r="H37" s="56">
        <f t="shared" si="25"/>
        <v>-0.06980716978</v>
      </c>
      <c r="I37" s="30"/>
      <c r="J37" s="40">
        <v>0.1065891697550979</v>
      </c>
      <c r="K37" s="40">
        <v>0.11458825126641575</v>
      </c>
      <c r="L37" s="40">
        <v>0.1448386743874598</v>
      </c>
      <c r="M37" s="40">
        <v>0.17461828147346412</v>
      </c>
      <c r="N37" s="40">
        <v>0.17283976450016522</v>
      </c>
      <c r="O37" s="40">
        <v>0.179353871629051</v>
      </c>
      <c r="P37" s="40">
        <v>0.19487263750343717</v>
      </c>
      <c r="Q37" s="40">
        <v>0.1992165189666562</v>
      </c>
      <c r="R37" s="40">
        <v>0.19989237271981605</v>
      </c>
      <c r="S37" s="40">
        <v>0.19767613526245473</v>
      </c>
      <c r="T37" s="40">
        <v>0.20246962025160872</v>
      </c>
      <c r="U37" s="40">
        <v>0.19539090982051804</v>
      </c>
      <c r="V37" s="40">
        <v>0.19677223604402663</v>
      </c>
      <c r="W37" s="40">
        <v>0.20252349583632678</v>
      </c>
      <c r="X37" s="40">
        <v>0.1961089614808276</v>
      </c>
      <c r="Y37" s="40">
        <v>0.19366481772426664</v>
      </c>
      <c r="Z37" s="40">
        <v>0.19330390273262807</v>
      </c>
      <c r="AA37" s="40">
        <v>0.19924246688816505</v>
      </c>
      <c r="AB37" s="40">
        <v>0.1968354588979827</v>
      </c>
      <c r="AC37" s="40">
        <v>0.1930577344409011</v>
      </c>
      <c r="AD37" s="40">
        <v>0.19260746205359283</v>
      </c>
      <c r="AE37" s="40">
        <v>0.19693073148839804</v>
      </c>
      <c r="AF37" s="40">
        <v>0.18883844126507568</v>
      </c>
      <c r="AG37" s="31">
        <v>0.1884322980917697</v>
      </c>
      <c r="AH37" s="31">
        <v>0.19243396419613862</v>
      </c>
      <c r="AI37" s="31">
        <v>0.20869604506648393</v>
      </c>
      <c r="AJ37" s="31">
        <v>0.22833621120288583</v>
      </c>
      <c r="AK37" s="31">
        <v>0.2049278299774506</v>
      </c>
      <c r="AL37" s="31">
        <v>0.20475195586576808</v>
      </c>
      <c r="AM37" s="31">
        <v>0.2073595369444901</v>
      </c>
      <c r="AN37" s="31">
        <v>0.21381607538761235</v>
      </c>
      <c r="AO37" s="31">
        <v>0.22891648944010776</v>
      </c>
      <c r="AP37" s="31">
        <v>0.2264135130644557</v>
      </c>
      <c r="AQ37" s="31">
        <v>0.24030452214044332</v>
      </c>
      <c r="AR37" s="31">
        <v>0.2369572801103024</v>
      </c>
      <c r="AS37" s="31">
        <v>0.2427238720298228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3">J40</f>
        <v>1</v>
      </c>
      <c r="G40" s="55">
        <f t="shared" si="33"/>
        <v>1</v>
      </c>
      <c r="H40" s="32">
        <f t="shared" ref="H40:H48" si="35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>
        <v>1.0</v>
      </c>
      <c r="AO40" s="31">
        <v>1.0</v>
      </c>
      <c r="AP40" s="31">
        <v>1.0</v>
      </c>
      <c r="AQ40" s="31">
        <v>1.0</v>
      </c>
      <c r="AR40" s="31">
        <v>1.0</v>
      </c>
      <c r="AS40" s="31">
        <v>1.0</v>
      </c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4">J41</f>
        <v>0.5873231289</v>
      </c>
      <c r="G41" s="55">
        <f t="shared" si="34"/>
        <v>0.5639503458</v>
      </c>
      <c r="H41" s="32">
        <f t="shared" si="35"/>
        <v>0.04144475358</v>
      </c>
      <c r="I41" s="30"/>
      <c r="J41" s="40">
        <v>0.5873231288980052</v>
      </c>
      <c r="K41" s="40">
        <v>0.5639503457848192</v>
      </c>
      <c r="L41" s="40">
        <v>0.5801919920302686</v>
      </c>
      <c r="M41" s="40">
        <v>0.578617521230665</v>
      </c>
      <c r="N41" s="40">
        <v>0.6054841919779216</v>
      </c>
      <c r="O41" s="40">
        <v>0.6058042289704375</v>
      </c>
      <c r="P41" s="40">
        <v>0.636668612028882</v>
      </c>
      <c r="Q41" s="40">
        <v>0.6381198647027898</v>
      </c>
      <c r="R41" s="40">
        <v>0.666991489943227</v>
      </c>
      <c r="S41" s="40">
        <v>0.6567366101130404</v>
      </c>
      <c r="T41" s="40">
        <v>0.6621241172705459</v>
      </c>
      <c r="U41" s="40">
        <v>0.6707863246956903</v>
      </c>
      <c r="V41" s="40">
        <v>0.6778755069900482</v>
      </c>
      <c r="W41" s="40">
        <v>0.6883889159037444</v>
      </c>
      <c r="X41" s="31">
        <v>0.6938548305700193</v>
      </c>
      <c r="Y41" s="31">
        <v>0.6602026453515139</v>
      </c>
      <c r="Z41" s="31">
        <v>0.5767966354827684</v>
      </c>
      <c r="AA41" s="31">
        <v>0.5170066862128138</v>
      </c>
      <c r="AB41" s="31">
        <v>0.5358023275757358</v>
      </c>
      <c r="AC41" s="31">
        <v>0.5388233231248334</v>
      </c>
      <c r="AD41" s="31">
        <v>0.6008690053809406</v>
      </c>
      <c r="AE41" s="31">
        <v>0.6524158842256089</v>
      </c>
      <c r="AF41" s="31">
        <v>0.6654930349818645</v>
      </c>
      <c r="AG41" s="31">
        <v>0.6817310351353414</v>
      </c>
      <c r="AH41" s="31">
        <v>0.6374177383463651</v>
      </c>
      <c r="AI41" s="31">
        <v>0.640576592995329</v>
      </c>
      <c r="AJ41" s="31">
        <v>0.6525990284617583</v>
      </c>
      <c r="AK41" s="31">
        <v>0.6423156443429816</v>
      </c>
      <c r="AL41" s="31">
        <v>0.6237721023082871</v>
      </c>
      <c r="AM41" s="31">
        <v>0.6057447184172284</v>
      </c>
      <c r="AN41" s="31">
        <v>0.612599954557831</v>
      </c>
      <c r="AO41" s="31">
        <v>0.6270640521276966</v>
      </c>
      <c r="AP41" s="31">
        <v>0.6110131285619509</v>
      </c>
      <c r="AQ41" s="31">
        <v>0.6266528696476509</v>
      </c>
      <c r="AR41" s="31">
        <v>0.6293187909254939</v>
      </c>
      <c r="AS41" s="31">
        <v>0.6328287023620155</v>
      </c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6">J42</f>
        <v>0.1838542329</v>
      </c>
      <c r="G42" s="55">
        <f t="shared" si="36"/>
        <v>0.197258726</v>
      </c>
      <c r="H42" s="32">
        <f t="shared" si="35"/>
        <v>-0.06795386653</v>
      </c>
      <c r="I42" s="30"/>
      <c r="J42" s="40">
        <v>0.18385423287715508</v>
      </c>
      <c r="K42" s="40">
        <v>0.19725872601775424</v>
      </c>
      <c r="L42" s="40">
        <v>0.18814373600865106</v>
      </c>
      <c r="M42" s="40">
        <v>0.1847024172011102</v>
      </c>
      <c r="N42" s="40">
        <v>0.16993794487895292</v>
      </c>
      <c r="O42" s="40">
        <v>0.1784411200646147</v>
      </c>
      <c r="P42" s="40">
        <v>0.14681450376273353</v>
      </c>
      <c r="Q42" s="40">
        <v>0.14617583598529638</v>
      </c>
      <c r="R42" s="40">
        <v>0.1397199816417235</v>
      </c>
      <c r="S42" s="40">
        <v>0.14460841157691653</v>
      </c>
      <c r="T42" s="40">
        <v>0.14000792973326667</v>
      </c>
      <c r="U42" s="40">
        <v>0.13496024279659008</v>
      </c>
      <c r="V42" s="40">
        <v>0.12581202129772812</v>
      </c>
      <c r="W42" s="40">
        <v>0.11414806163444145</v>
      </c>
      <c r="X42" s="31">
        <v>0.10780929639857544</v>
      </c>
      <c r="Y42" s="31">
        <v>0.11721035363477812</v>
      </c>
      <c r="Z42" s="31">
        <v>0.14889812221131166</v>
      </c>
      <c r="AA42" s="31">
        <v>0.17480430371831326</v>
      </c>
      <c r="AB42" s="31">
        <v>0.1463128156747439</v>
      </c>
      <c r="AC42" s="31">
        <v>0.14727921410659012</v>
      </c>
      <c r="AD42" s="31">
        <v>0.10440447008620687</v>
      </c>
      <c r="AE42" s="31">
        <v>0.09516193291921522</v>
      </c>
      <c r="AF42" s="31">
        <v>0.10291981950638507</v>
      </c>
      <c r="AG42" s="31">
        <v>0.08943993113421253</v>
      </c>
      <c r="AH42" s="31">
        <v>0.09438415702317317</v>
      </c>
      <c r="AI42" s="31">
        <v>0.10260531169654283</v>
      </c>
      <c r="AJ42" s="31">
        <v>0.1066303792664461</v>
      </c>
      <c r="AK42" s="31">
        <v>0.09993043618804166</v>
      </c>
      <c r="AL42" s="31">
        <v>0.11253195610838616</v>
      </c>
      <c r="AM42" s="31">
        <v>0.1151553550366909</v>
      </c>
      <c r="AN42" s="31">
        <v>0.1120894545207067</v>
      </c>
      <c r="AO42" s="31">
        <v>0.11087357311134988</v>
      </c>
      <c r="AP42" s="31">
        <v>0.11946469926692016</v>
      </c>
      <c r="AQ42" s="31">
        <v>0.1176229097814806</v>
      </c>
      <c r="AR42" s="31">
        <v>0.1087533273542141</v>
      </c>
      <c r="AS42" s="31">
        <v>0.11313180257671024</v>
      </c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37">J43</f>
        <v>0.1775203532</v>
      </c>
      <c r="G43" s="55">
        <f t="shared" si="37"/>
        <v>0.1803876195</v>
      </c>
      <c r="H43" s="32">
        <f t="shared" si="35"/>
        <v>-0.01589502784</v>
      </c>
      <c r="I43" s="30"/>
      <c r="J43" s="40">
        <v>0.1775203532387998</v>
      </c>
      <c r="K43" s="40">
        <v>0.18038761947308382</v>
      </c>
      <c r="L43" s="40">
        <v>0.17401906987117857</v>
      </c>
      <c r="M43" s="40">
        <v>0.1822895474862116</v>
      </c>
      <c r="N43" s="40">
        <v>0.18864975483257854</v>
      </c>
      <c r="O43" s="40">
        <v>0.18171932057395537</v>
      </c>
      <c r="P43" s="40">
        <v>0.1779652791962904</v>
      </c>
      <c r="Q43" s="40">
        <v>0.17626272709443894</v>
      </c>
      <c r="R43" s="40">
        <v>0.1503273184104983</v>
      </c>
      <c r="S43" s="40">
        <v>0.14857060329496993</v>
      </c>
      <c r="T43" s="40">
        <v>0.14879176143250636</v>
      </c>
      <c r="U43" s="40">
        <v>0.13903060842076062</v>
      </c>
      <c r="V43" s="40">
        <v>0.13665197529004453</v>
      </c>
      <c r="W43" s="40">
        <v>0.13376104656511076</v>
      </c>
      <c r="X43" s="31">
        <v>0.13976687765116946</v>
      </c>
      <c r="Y43" s="31">
        <v>0.16370201552337155</v>
      </c>
      <c r="Z43" s="31">
        <v>0.2193631817821249</v>
      </c>
      <c r="AA43" s="31">
        <v>0.24749085475662322</v>
      </c>
      <c r="AB43" s="31">
        <v>0.25337306941570303</v>
      </c>
      <c r="AC43" s="31">
        <v>0.249641044379863</v>
      </c>
      <c r="AD43" s="31">
        <v>0.23868303430640764</v>
      </c>
      <c r="AE43" s="31">
        <v>0.1976593601086203</v>
      </c>
      <c r="AF43" s="31">
        <v>0.17281425260355418</v>
      </c>
      <c r="AG43" s="31">
        <v>0.1691965336164425</v>
      </c>
      <c r="AH43" s="31">
        <v>0.18708911097280248</v>
      </c>
      <c r="AI43" s="31">
        <v>0.18753970316811647</v>
      </c>
      <c r="AJ43" s="31">
        <v>0.18499989735661249</v>
      </c>
      <c r="AK43" s="31">
        <v>0.197899761332864</v>
      </c>
      <c r="AL43" s="31">
        <v>0.20680629278084853</v>
      </c>
      <c r="AM43" s="31">
        <v>0.22708407461998667</v>
      </c>
      <c r="AN43" s="31">
        <v>0.224951973183168</v>
      </c>
      <c r="AO43" s="31">
        <v>0.21570917666268707</v>
      </c>
      <c r="AP43" s="31">
        <v>0.22657010261550617</v>
      </c>
      <c r="AQ43" s="31">
        <v>0.21894103328151793</v>
      </c>
      <c r="AR43" s="31">
        <v>0.22847730022375326</v>
      </c>
      <c r="AS43" s="31">
        <v>0.22571933964146146</v>
      </c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38">J44</f>
        <v>0.007404557954</v>
      </c>
      <c r="G44" s="55">
        <f t="shared" si="38"/>
        <v>0.01019214601</v>
      </c>
      <c r="H44" s="32">
        <f t="shared" si="35"/>
        <v>-0.2735035442</v>
      </c>
      <c r="I44" s="30"/>
      <c r="J44" s="40">
        <v>0.007404557954147448</v>
      </c>
      <c r="K44" s="40">
        <v>0.010192146011825484</v>
      </c>
      <c r="L44" s="40">
        <v>0.014508737140542355</v>
      </c>
      <c r="M44" s="40">
        <v>0.018303187819318396</v>
      </c>
      <c r="N44" s="40">
        <v>0.006239232983194757</v>
      </c>
      <c r="O44" s="40">
        <v>0.005508182826384831</v>
      </c>
      <c r="P44" s="40">
        <v>0.005961747279832733</v>
      </c>
      <c r="Q44" s="40">
        <v>0.006525046990644099</v>
      </c>
      <c r="R44" s="40">
        <v>0.007908139316426891</v>
      </c>
      <c r="S44" s="40">
        <v>0.011831755243977213</v>
      </c>
      <c r="T44" s="40">
        <v>0.011228286015268749</v>
      </c>
      <c r="U44" s="40">
        <v>0.012138388623109786</v>
      </c>
      <c r="V44" s="40">
        <v>0.013400345265682895</v>
      </c>
      <c r="W44" s="40">
        <v>0.011621653789540169</v>
      </c>
      <c r="X44" s="31">
        <v>0.014067928771167212</v>
      </c>
      <c r="Y44" s="31">
        <v>0.016406224707021345</v>
      </c>
      <c r="Z44" s="31">
        <v>0.02160215173852531</v>
      </c>
      <c r="AA44" s="31">
        <v>0.029698956603592244</v>
      </c>
      <c r="AB44" s="31">
        <v>0.03196295776753198</v>
      </c>
      <c r="AC44" s="31">
        <v>0.0279694855482899</v>
      </c>
      <c r="AD44" s="31">
        <v>0.02277325105733772</v>
      </c>
      <c r="AE44" s="31">
        <v>0.02040745460765341</v>
      </c>
      <c r="AF44" s="31">
        <v>0.022883460966261635</v>
      </c>
      <c r="AG44" s="31">
        <v>0.02397715537062571</v>
      </c>
      <c r="AH44" s="31">
        <v>0.024738865366917773</v>
      </c>
      <c r="AI44" s="31">
        <v>0.019796287624211897</v>
      </c>
      <c r="AJ44" s="31">
        <v>0.02177887582008501</v>
      </c>
      <c r="AK44" s="31">
        <v>0.022969139635539603</v>
      </c>
      <c r="AL44" s="31">
        <v>0.023137091772184544</v>
      </c>
      <c r="AM44" s="31">
        <v>0.020235213831768645</v>
      </c>
      <c r="AN44" s="31">
        <v>0.018662519882159844</v>
      </c>
      <c r="AO44" s="31">
        <v>0.014430933769214548</v>
      </c>
      <c r="AP44" s="31">
        <v>0.013291840457313577</v>
      </c>
      <c r="AQ44" s="31">
        <v>0.011502730345347323</v>
      </c>
      <c r="AR44" s="31">
        <v>0.00568252845171026</v>
      </c>
      <c r="AS44" s="31">
        <v>0.004696703180688683</v>
      </c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39">J45</f>
        <v>0.02301692815</v>
      </c>
      <c r="G45" s="55">
        <f t="shared" si="39"/>
        <v>0.02716272089</v>
      </c>
      <c r="H45" s="32">
        <f t="shared" si="35"/>
        <v>-0.1526280358</v>
      </c>
      <c r="I45" s="30"/>
      <c r="J45" s="40">
        <v>0.023016928149779885</v>
      </c>
      <c r="K45" s="40">
        <v>0.02716272088576557</v>
      </c>
      <c r="L45" s="40">
        <v>0.02771719335427517</v>
      </c>
      <c r="M45" s="40">
        <v>0.027722672615603038</v>
      </c>
      <c r="N45" s="40">
        <v>0.02905432708697606</v>
      </c>
      <c r="O45" s="40">
        <v>0.027898643376357012</v>
      </c>
      <c r="P45" s="40">
        <v>0.032011357910039576</v>
      </c>
      <c r="Q45" s="40">
        <v>0.03269799888690205</v>
      </c>
      <c r="R45" s="40">
        <v>0.03488497926096258</v>
      </c>
      <c r="S45" s="40">
        <v>0.03791853684172713</v>
      </c>
      <c r="T45" s="40">
        <v>0.03751401355329175</v>
      </c>
      <c r="U45" s="40">
        <v>0.04226666418868392</v>
      </c>
      <c r="V45" s="40">
        <v>0.044900438083709374</v>
      </c>
      <c r="W45" s="40">
        <v>0.050854055034681725</v>
      </c>
      <c r="X45" s="31">
        <v>0.04368945818193478</v>
      </c>
      <c r="Y45" s="31">
        <v>0.042439874952704966</v>
      </c>
      <c r="Z45" s="31">
        <v>0.03333989568741487</v>
      </c>
      <c r="AA45" s="31">
        <v>0.030999183161874402</v>
      </c>
      <c r="AB45" s="31">
        <v>0.03254882818793087</v>
      </c>
      <c r="AC45" s="31">
        <v>0.0362869328404235</v>
      </c>
      <c r="AD45" s="31">
        <v>0.03327023916910719</v>
      </c>
      <c r="AE45" s="31">
        <v>0.03435536813890205</v>
      </c>
      <c r="AF45" s="31">
        <v>0.03588423940566044</v>
      </c>
      <c r="AG45" s="31">
        <v>0.0356317580933537</v>
      </c>
      <c r="AH45" s="31">
        <v>0.05631362399875475</v>
      </c>
      <c r="AI45" s="31">
        <v>0.048679084519316775</v>
      </c>
      <c r="AJ45" s="31">
        <v>0.03398409345653326</v>
      </c>
      <c r="AK45" s="31">
        <v>0.03688479109708549</v>
      </c>
      <c r="AL45" s="31">
        <v>0.03375255703029389</v>
      </c>
      <c r="AM45" s="31">
        <v>0.031780638094325485</v>
      </c>
      <c r="AN45" s="31">
        <v>0.031696097856134677</v>
      </c>
      <c r="AO45" s="31">
        <v>0.03192226432905164</v>
      </c>
      <c r="AP45" s="31">
        <v>0.02966022909830896</v>
      </c>
      <c r="AQ45" s="31">
        <v>0.025280456944003334</v>
      </c>
      <c r="AR45" s="31">
        <v>0.02776805304482861</v>
      </c>
      <c r="AS45" s="31">
        <v>0.023623452239124158</v>
      </c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40">J46</f>
        <v>0</v>
      </c>
      <c r="G46" s="55">
        <f t="shared" si="40"/>
        <v>0</v>
      </c>
      <c r="H46" s="32" t="str">
        <f t="shared" si="35"/>
        <v>-</v>
      </c>
      <c r="I46" s="30"/>
      <c r="J46" s="40">
        <v>0.0</v>
      </c>
      <c r="K46" s="40">
        <v>0.0</v>
      </c>
      <c r="L46" s="40">
        <v>0.0</v>
      </c>
      <c r="M46" s="40">
        <v>0.0</v>
      </c>
      <c r="N46" s="40">
        <v>0.0</v>
      </c>
      <c r="O46" s="40">
        <v>0.0</v>
      </c>
      <c r="P46" s="40">
        <v>0.0</v>
      </c>
      <c r="Q46" s="40">
        <v>0.0</v>
      </c>
      <c r="R46" s="40">
        <v>0.0</v>
      </c>
      <c r="S46" s="40">
        <v>0.0</v>
      </c>
      <c r="T46" s="40">
        <v>0.0</v>
      </c>
      <c r="U46" s="40">
        <v>0.0</v>
      </c>
      <c r="V46" s="40">
        <v>0.0</v>
      </c>
      <c r="W46" s="40">
        <v>0.0</v>
      </c>
      <c r="X46" s="31">
        <v>0.0</v>
      </c>
      <c r="Y46" s="31">
        <v>0.0</v>
      </c>
      <c r="Z46" s="31">
        <v>0.0</v>
      </c>
      <c r="AA46" s="31">
        <v>0.0</v>
      </c>
      <c r="AB46" s="31">
        <v>0.0</v>
      </c>
      <c r="AC46" s="31">
        <v>0.0</v>
      </c>
      <c r="AD46" s="31">
        <v>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>
        <v>0.0</v>
      </c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1">J47</f>
        <v>0.01229058306</v>
      </c>
      <c r="G47" s="55">
        <f t="shared" si="41"/>
        <v>0.01378565128</v>
      </c>
      <c r="H47" s="32">
        <f t="shared" si="35"/>
        <v>-0.1084510406</v>
      </c>
      <c r="I47" s="30"/>
      <c r="J47" s="40">
        <v>0.0122905830567711</v>
      </c>
      <c r="K47" s="40">
        <v>0.01378565128315842</v>
      </c>
      <c r="L47" s="40">
        <v>0.008806108777551764</v>
      </c>
      <c r="M47" s="40">
        <v>0.004409779137548541</v>
      </c>
      <c r="N47" s="40">
        <v>8.188545412793605E-6</v>
      </c>
      <c r="O47" s="40">
        <v>0.0</v>
      </c>
      <c r="P47" s="40">
        <v>0.0</v>
      </c>
      <c r="Q47" s="40">
        <v>0.0</v>
      </c>
      <c r="R47" s="40">
        <v>0.0</v>
      </c>
      <c r="S47" s="40">
        <v>0.0</v>
      </c>
      <c r="T47" s="40">
        <v>0.0</v>
      </c>
      <c r="U47" s="40">
        <v>0.0</v>
      </c>
      <c r="V47" s="40">
        <v>0.0</v>
      </c>
      <c r="W47" s="40">
        <v>0.0</v>
      </c>
      <c r="X47" s="31">
        <v>0.0</v>
      </c>
      <c r="Y47" s="31">
        <v>0.0</v>
      </c>
      <c r="Z47" s="31">
        <v>0.0</v>
      </c>
      <c r="AA47" s="31">
        <v>0.0</v>
      </c>
      <c r="AB47" s="31">
        <v>0.0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2">J48</f>
        <v>0.008590215825</v>
      </c>
      <c r="G48" s="55">
        <f t="shared" si="42"/>
        <v>0.007262790544</v>
      </c>
      <c r="H48" s="32">
        <f t="shared" si="35"/>
        <v>0.1827706959</v>
      </c>
      <c r="I48" s="30"/>
      <c r="J48" s="40">
        <v>0.008590215825341481</v>
      </c>
      <c r="K48" s="40">
        <v>0.007262790543593251</v>
      </c>
      <c r="L48" s="40">
        <v>0.00661316281753253</v>
      </c>
      <c r="M48" s="40">
        <v>0.003954874509543327</v>
      </c>
      <c r="N48" s="40">
        <v>6.263596949633051E-4</v>
      </c>
      <c r="O48" s="40">
        <v>6.285041882505426E-4</v>
      </c>
      <c r="P48" s="40">
        <v>5.784998222216967E-4</v>
      </c>
      <c r="Q48" s="40">
        <v>2.1852633992877315E-4</v>
      </c>
      <c r="R48" s="40">
        <v>1.680914271617172E-4</v>
      </c>
      <c r="S48" s="40">
        <v>3.340829293688621E-4</v>
      </c>
      <c r="T48" s="40">
        <v>3.3389199512058425E-4</v>
      </c>
      <c r="U48" s="40">
        <v>8.177712751652309E-4</v>
      </c>
      <c r="V48" s="40">
        <v>0.0013597130727868736</v>
      </c>
      <c r="W48" s="40">
        <v>0.0012262670724815393</v>
      </c>
      <c r="X48" s="31">
        <v>8.116084271337921E-4</v>
      </c>
      <c r="Y48" s="31">
        <v>3.88858306101639E-5</v>
      </c>
      <c r="Z48" s="31">
        <v>1.3097854885581381E-8</v>
      </c>
      <c r="AA48" s="31">
        <v>1.554678309720695E-8</v>
      </c>
      <c r="AB48" s="31">
        <v>1.378354419158396E-9</v>
      </c>
      <c r="AC48" s="31">
        <v>6.321019459995984E-17</v>
      </c>
      <c r="AD48" s="31">
        <v>3.700928384558629E-17</v>
      </c>
      <c r="AE48" s="31">
        <v>6.726113644121166E-17</v>
      </c>
      <c r="AF48" s="31">
        <v>5.192536274175791E-6</v>
      </c>
      <c r="AG48" s="31">
        <v>2.358665002418915E-5</v>
      </c>
      <c r="AH48" s="31">
        <v>5.65042919867778E-5</v>
      </c>
      <c r="AI48" s="31">
        <v>8.03019996483082E-4</v>
      </c>
      <c r="AJ48" s="31">
        <v>7.725638564762543E-6</v>
      </c>
      <c r="AK48" s="31">
        <v>2.274034875874435E-7</v>
      </c>
      <c r="AL48" s="31">
        <v>-1.54089391856179E-16</v>
      </c>
      <c r="AM48" s="31">
        <v>-6.694637378077864E-17</v>
      </c>
      <c r="AN48" s="31">
        <v>-2.4338077449499914E-16</v>
      </c>
      <c r="AO48" s="31">
        <v>2.669484131795163E-16</v>
      </c>
      <c r="AP48" s="31">
        <v>2.638277328114816E-16</v>
      </c>
      <c r="AQ48" s="31">
        <v>-1.0314945179719036E-16</v>
      </c>
      <c r="AR48" s="31">
        <v>-1.7010573530445135E-16</v>
      </c>
      <c r="AS48" s="31">
        <v>1.362752791476985E-17</v>
      </c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>
        <f t="shared" ref="F51:G51" si="43">J51</f>
        <v>1</v>
      </c>
      <c r="G51" s="55">
        <f t="shared" si="43"/>
        <v>1</v>
      </c>
      <c r="H51" s="32">
        <f t="shared" ref="H51:H57" si="45">IFERROR(F51/G51-1,"-")</f>
        <v>0</v>
      </c>
      <c r="J51" s="58">
        <v>1.0</v>
      </c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58">
        <v>1.0</v>
      </c>
      <c r="Y51" s="58">
        <v>1.0</v>
      </c>
      <c r="Z51" s="58">
        <v>1.0</v>
      </c>
      <c r="AA51" s="58">
        <v>1.0</v>
      </c>
      <c r="AB51" s="59">
        <v>1.0</v>
      </c>
      <c r="AC51" s="59">
        <v>1.0</v>
      </c>
      <c r="AD51" s="59">
        <v>1.0</v>
      </c>
      <c r="AE51" s="57"/>
      <c r="AF51" s="57"/>
    </row>
    <row r="52">
      <c r="C52" s="60" t="s">
        <v>44</v>
      </c>
      <c r="D52" s="39" t="s">
        <v>10</v>
      </c>
      <c r="F52" s="55">
        <f t="shared" ref="F52:G52" si="44">J52</f>
        <v>0.06137420253</v>
      </c>
      <c r="G52" s="55">
        <f t="shared" si="44"/>
        <v>0.06391241045</v>
      </c>
      <c r="H52" s="32">
        <f t="shared" si="45"/>
        <v>-0.03971385059</v>
      </c>
      <c r="J52" s="58">
        <v>0.0613742025318166</v>
      </c>
      <c r="K52" s="58">
        <v>0.0639124104514786</v>
      </c>
      <c r="L52" s="58">
        <v>0.0668792227082727</v>
      </c>
      <c r="M52" s="58">
        <v>0.072542739418665</v>
      </c>
      <c r="N52" s="58">
        <v>0.066605745944974</v>
      </c>
      <c r="O52" s="58">
        <v>0.0659966267935233</v>
      </c>
      <c r="P52" s="58">
        <v>0.0671010991762294</v>
      </c>
      <c r="Q52" s="58">
        <v>0.0709310629837651</v>
      </c>
      <c r="R52" s="58">
        <v>0.072390626853178</v>
      </c>
      <c r="S52" s="58">
        <v>0.079183015505401</v>
      </c>
      <c r="T52" s="58">
        <v>0.0852955019662946</v>
      </c>
      <c r="U52" s="58">
        <v>0.0863457049103757</v>
      </c>
      <c r="V52" s="58">
        <v>0.0840552974554813</v>
      </c>
      <c r="W52" s="58">
        <v>0.072564045952896</v>
      </c>
      <c r="X52" s="58">
        <v>0.101045255770818</v>
      </c>
      <c r="Y52" s="58">
        <v>0.0</v>
      </c>
      <c r="Z52" s="58">
        <v>0.0</v>
      </c>
      <c r="AA52" s="58">
        <v>0.0</v>
      </c>
      <c r="AB52" s="59">
        <v>0.0</v>
      </c>
      <c r="AC52" s="59">
        <v>0.0</v>
      </c>
      <c r="AD52" s="59">
        <v>0.0</v>
      </c>
      <c r="AE52" s="57"/>
      <c r="AF52" s="57"/>
    </row>
    <row r="53">
      <c r="C53" s="60" t="s">
        <v>45</v>
      </c>
      <c r="D53" s="39" t="s">
        <v>10</v>
      </c>
      <c r="F53" s="55">
        <f t="shared" ref="F53:G53" si="46">J53</f>
        <v>0.001952882793</v>
      </c>
      <c r="G53" s="55">
        <f t="shared" si="46"/>
        <v>0.001579776264</v>
      </c>
      <c r="H53" s="32">
        <f t="shared" si="45"/>
        <v>0.236176817</v>
      </c>
      <c r="J53" s="58">
        <v>0.00195288279317008</v>
      </c>
      <c r="K53" s="58">
        <v>0.00157977626368125</v>
      </c>
      <c r="L53" s="58">
        <v>0.00188951302715695</v>
      </c>
      <c r="M53" s="58">
        <v>0.00174101948388867</v>
      </c>
      <c r="N53" s="58">
        <v>0.00158053168411525</v>
      </c>
      <c r="O53" s="58">
        <v>0.00158487096866393</v>
      </c>
      <c r="P53" s="58">
        <v>0.00168686625066767</v>
      </c>
      <c r="Q53" s="58">
        <v>0.00200703804046082</v>
      </c>
      <c r="R53" s="58">
        <v>0.0021255195854513</v>
      </c>
      <c r="S53" s="58">
        <v>0.00237904104619583</v>
      </c>
      <c r="T53" s="58">
        <v>0.0025585066981458</v>
      </c>
      <c r="U53" s="58">
        <v>0.00454095870187708</v>
      </c>
      <c r="V53" s="58">
        <v>0.00660369938646279</v>
      </c>
      <c r="W53" s="58">
        <v>0.00360857038948607</v>
      </c>
      <c r="X53" s="58">
        <v>0.00547323821589676</v>
      </c>
      <c r="Y53" s="58">
        <v>0.0</v>
      </c>
      <c r="Z53" s="58">
        <v>0.0</v>
      </c>
      <c r="AA53" s="58">
        <v>0.0</v>
      </c>
      <c r="AB53" s="59">
        <v>0.0</v>
      </c>
      <c r="AC53" s="59">
        <v>0.0</v>
      </c>
      <c r="AD53" s="59">
        <v>0.0</v>
      </c>
      <c r="AE53" s="57"/>
      <c r="AF53" s="57"/>
    </row>
    <row r="54">
      <c r="C54" s="60" t="s">
        <v>46</v>
      </c>
      <c r="D54" s="39" t="s">
        <v>10</v>
      </c>
      <c r="F54" s="55">
        <f t="shared" ref="F54:G54" si="47">J54</f>
        <v>0.01461550659</v>
      </c>
      <c r="G54" s="55">
        <f t="shared" si="47"/>
        <v>0.01562614728</v>
      </c>
      <c r="H54" s="32">
        <f t="shared" si="45"/>
        <v>-0.06467625498</v>
      </c>
      <c r="J54" s="58">
        <v>0.0146155065928868</v>
      </c>
      <c r="K54" s="58">
        <v>0.0156261472786142</v>
      </c>
      <c r="L54" s="58">
        <v>0.0158880217907962</v>
      </c>
      <c r="M54" s="58">
        <v>0.0190312193240788</v>
      </c>
      <c r="N54" s="58">
        <v>0.0181889085421533</v>
      </c>
      <c r="O54" s="58">
        <v>0.0201983883444875</v>
      </c>
      <c r="P54" s="58">
        <v>0.0231783110994213</v>
      </c>
      <c r="Q54" s="58">
        <v>0.0286025774259013</v>
      </c>
      <c r="R54" s="58">
        <v>0.0314950995347868</v>
      </c>
      <c r="S54" s="58">
        <v>0.0397053871357341</v>
      </c>
      <c r="T54" s="58">
        <v>0.0467197880466179</v>
      </c>
      <c r="U54" s="58">
        <v>0.0422483214886922</v>
      </c>
      <c r="V54" s="58">
        <v>0.0343405592342663</v>
      </c>
      <c r="W54" s="58">
        <v>0.0278650399579935</v>
      </c>
      <c r="X54" s="58">
        <v>0.0531017366568035</v>
      </c>
      <c r="Y54" s="58">
        <v>0.0</v>
      </c>
      <c r="Z54" s="58">
        <v>0.0</v>
      </c>
      <c r="AA54" s="58">
        <v>0.0</v>
      </c>
      <c r="AB54" s="59">
        <v>0.0</v>
      </c>
      <c r="AC54" s="59">
        <v>0.0</v>
      </c>
      <c r="AD54" s="59">
        <v>0.0</v>
      </c>
      <c r="AE54" s="57"/>
      <c r="AF54" s="57"/>
    </row>
    <row r="55">
      <c r="C55" s="60" t="s">
        <v>47</v>
      </c>
      <c r="D55" s="39" t="s">
        <v>10</v>
      </c>
      <c r="F55" s="55">
        <f t="shared" ref="F55:G55" si="48">J55</f>
        <v>0.04436173657</v>
      </c>
      <c r="G55" s="55">
        <f t="shared" si="48"/>
        <v>0.04622049583</v>
      </c>
      <c r="H55" s="32">
        <f t="shared" si="45"/>
        <v>-0.04021504367</v>
      </c>
      <c r="J55" s="58">
        <v>0.0443617365704669</v>
      </c>
      <c r="K55" s="58">
        <v>0.0462204958284483</v>
      </c>
      <c r="L55" s="58">
        <v>0.0485779892562655</v>
      </c>
      <c r="M55" s="58">
        <v>0.0511818240221133</v>
      </c>
      <c r="N55" s="58">
        <v>0.046230263629194</v>
      </c>
      <c r="O55" s="58">
        <v>0.0437078883927318</v>
      </c>
      <c r="P55" s="58">
        <v>0.0417239322799867</v>
      </c>
      <c r="Q55" s="58">
        <v>0.0397724749350869</v>
      </c>
      <c r="R55" s="58">
        <v>0.0380527650631567</v>
      </c>
      <c r="S55" s="58">
        <v>0.0362615791433756</v>
      </c>
      <c r="T55" s="58">
        <v>0.0351718357029928</v>
      </c>
      <c r="U55" s="58">
        <v>0.0386886933703229</v>
      </c>
      <c r="V55" s="58">
        <v>0.0416833512687572</v>
      </c>
      <c r="W55" s="58">
        <v>0.0397103260774884</v>
      </c>
      <c r="X55" s="58">
        <v>0.0408245678129528</v>
      </c>
      <c r="Y55" s="58">
        <v>0.0</v>
      </c>
      <c r="Z55" s="58">
        <v>0.0</v>
      </c>
      <c r="AA55" s="58">
        <v>0.0</v>
      </c>
      <c r="AB55" s="59">
        <v>0.0</v>
      </c>
      <c r="AC55" s="59">
        <v>0.0</v>
      </c>
      <c r="AD55" s="59">
        <v>0.0</v>
      </c>
      <c r="AE55" s="57"/>
      <c r="AF55" s="57"/>
    </row>
    <row r="56">
      <c r="C56" s="60" t="s">
        <v>48</v>
      </c>
      <c r="D56" s="39" t="s">
        <v>10</v>
      </c>
      <c r="F56" s="55">
        <f t="shared" ref="F56:G56" si="49">J56</f>
        <v>0.0004440765753</v>
      </c>
      <c r="G56" s="55">
        <f t="shared" si="49"/>
        <v>0.0004859910807</v>
      </c>
      <c r="H56" s="32">
        <f t="shared" si="45"/>
        <v>-0.08624542117</v>
      </c>
      <c r="J56" s="58">
        <v>4.44076575292883E-4</v>
      </c>
      <c r="K56" s="58">
        <v>4.85991080734829E-4</v>
      </c>
      <c r="L56" s="58">
        <v>5.23698634053976E-4</v>
      </c>
      <c r="M56" s="58">
        <v>5.8867658858415E-4</v>
      </c>
      <c r="N56" s="58">
        <v>0.00279886114014502</v>
      </c>
      <c r="O56" s="58">
        <v>5.05479087640041E-4</v>
      </c>
      <c r="P56" s="58">
        <v>5.11989546153621E-4</v>
      </c>
      <c r="Q56" s="58">
        <v>5.4897258231602E-4</v>
      </c>
      <c r="R56" s="58">
        <v>7.17242669783226E-4</v>
      </c>
      <c r="S56" s="58">
        <v>8.37008180095352E-4</v>
      </c>
      <c r="T56" s="58">
        <v>8.45371518538123E-4</v>
      </c>
      <c r="U56" s="58">
        <v>8.67731349483416E-4</v>
      </c>
      <c r="V56" s="58">
        <v>0.00142768756599495</v>
      </c>
      <c r="W56" s="58">
        <v>0.00138010952792793</v>
      </c>
      <c r="X56" s="58">
        <v>0.0016457130851652</v>
      </c>
      <c r="Y56" s="58">
        <v>0.0</v>
      </c>
      <c r="Z56" s="58">
        <v>0.0</v>
      </c>
      <c r="AA56" s="58">
        <v>0.0</v>
      </c>
      <c r="AB56" s="59">
        <v>0.0</v>
      </c>
      <c r="AC56" s="59">
        <v>0.0</v>
      </c>
      <c r="AD56" s="59">
        <v>0.0</v>
      </c>
      <c r="AE56" s="57"/>
      <c r="AF56" s="57"/>
    </row>
    <row r="57">
      <c r="C57" s="60" t="s">
        <v>49</v>
      </c>
      <c r="D57" s="39" t="s">
        <v>10</v>
      </c>
      <c r="F57" s="55">
        <f t="shared" ref="F57:G57" si="50">J57</f>
        <v>0.9386257975</v>
      </c>
      <c r="G57" s="55">
        <f t="shared" si="50"/>
        <v>0.9360875895</v>
      </c>
      <c r="H57" s="32">
        <f t="shared" si="45"/>
        <v>0.002711506859</v>
      </c>
      <c r="J57" s="58">
        <v>0.938625797468183</v>
      </c>
      <c r="K57" s="58">
        <v>0.936087589548521</v>
      </c>
      <c r="L57" s="58">
        <v>0.933120777291727</v>
      </c>
      <c r="M57" s="58">
        <v>0.927457260581334</v>
      </c>
      <c r="N57" s="58">
        <v>0.933394254055026</v>
      </c>
      <c r="O57" s="58">
        <v>0.934003373206476</v>
      </c>
      <c r="P57" s="58">
        <v>0.93289890082377</v>
      </c>
      <c r="Q57" s="58">
        <v>0.929068937016234</v>
      </c>
      <c r="R57" s="58">
        <v>0.927609373146821</v>
      </c>
      <c r="S57" s="58">
        <v>0.920816984494599</v>
      </c>
      <c r="T57" s="58">
        <v>0.914704498033705</v>
      </c>
      <c r="U57" s="58">
        <v>0.913654295089624</v>
      </c>
      <c r="V57" s="58">
        <v>0.915944702544518</v>
      </c>
      <c r="W57" s="58">
        <v>0.927435954047104</v>
      </c>
      <c r="X57" s="58">
        <v>0.898954744229181</v>
      </c>
      <c r="Y57" s="58">
        <v>1.0</v>
      </c>
      <c r="Z57" s="58">
        <v>1.0</v>
      </c>
      <c r="AA57" s="58">
        <v>1.0</v>
      </c>
      <c r="AB57" s="59">
        <v>1.0</v>
      </c>
      <c r="AC57" s="59">
        <v>1.0</v>
      </c>
      <c r="AD57" s="59">
        <v>1.0</v>
      </c>
      <c r="AE57" s="57"/>
      <c r="AF57" s="57"/>
    </row>
    <row r="58">
      <c r="D58" s="3"/>
      <c r="F58" s="4"/>
      <c r="G58" s="4"/>
      <c r="H58" s="5"/>
    </row>
    <row r="59">
      <c r="C59" s="1" t="s">
        <v>70</v>
      </c>
      <c r="D59" s="3"/>
      <c r="F59" s="4"/>
      <c r="G59" s="4"/>
      <c r="H59" s="5"/>
    </row>
    <row r="60">
      <c r="C60" s="28" t="s">
        <v>37</v>
      </c>
      <c r="D60" s="79"/>
      <c r="E60" s="80"/>
      <c r="F60" s="81">
        <f t="shared" ref="F60:G60" si="51">F3</f>
        <v>45992</v>
      </c>
      <c r="G60" s="81">
        <f t="shared" si="51"/>
        <v>45962</v>
      </c>
      <c r="H60" s="82" t="s">
        <v>58</v>
      </c>
      <c r="K60" s="83">
        <v>45474.0</v>
      </c>
      <c r="L60" s="84">
        <v>45444.0</v>
      </c>
      <c r="M60" s="82" t="s">
        <v>58</v>
      </c>
    </row>
    <row r="61">
      <c r="C61" s="38" t="s">
        <v>59</v>
      </c>
      <c r="D61" s="85"/>
      <c r="E61" s="86"/>
      <c r="F61" s="87">
        <f t="shared" ref="F61:G61" si="52">F$14*F52</f>
        <v>129855.3584</v>
      </c>
      <c r="G61" s="87">
        <f t="shared" si="52"/>
        <v>121289.9387</v>
      </c>
      <c r="H61" s="88">
        <f t="shared" ref="H61:H66" si="55">F61/G61-1</f>
        <v>0.07061937517</v>
      </c>
      <c r="K61" s="87">
        <f t="shared" ref="K61:L61" si="53">K$14*K52</f>
        <v>121289.9387</v>
      </c>
      <c r="L61" s="87">
        <f t="shared" si="53"/>
        <v>108650.8135</v>
      </c>
      <c r="M61" s="88">
        <f t="shared" ref="M61:M66" si="57">K61/L61-1</f>
        <v>0.1163279388</v>
      </c>
    </row>
    <row r="62">
      <c r="C62" s="38" t="s">
        <v>60</v>
      </c>
      <c r="D62" s="85"/>
      <c r="E62" s="86"/>
      <c r="F62" s="87">
        <f t="shared" ref="F62:G62" si="54">F$14*F53</f>
        <v>4131.903707</v>
      </c>
      <c r="G62" s="87">
        <f t="shared" si="54"/>
        <v>2998.024402</v>
      </c>
      <c r="H62" s="88">
        <f t="shared" si="55"/>
        <v>0.378208831</v>
      </c>
      <c r="K62" s="87">
        <f t="shared" ref="K62:L62" si="56">K$14*K53</f>
        <v>2998.024402</v>
      </c>
      <c r="L62" s="87">
        <f t="shared" si="56"/>
        <v>3069.66976</v>
      </c>
      <c r="M62" s="88">
        <f t="shared" si="57"/>
        <v>-0.02333976066</v>
      </c>
    </row>
    <row r="63">
      <c r="C63" s="38" t="s">
        <v>61</v>
      </c>
      <c r="D63" s="85"/>
      <c r="E63" s="86"/>
      <c r="F63" s="87">
        <f t="shared" ref="F63:G63" si="58">F$14*F54</f>
        <v>30923.44614</v>
      </c>
      <c r="G63" s="87">
        <f t="shared" si="58"/>
        <v>29654.56054</v>
      </c>
      <c r="H63" s="88">
        <f t="shared" si="55"/>
        <v>0.04278888547</v>
      </c>
      <c r="K63" s="87">
        <f t="shared" ref="K63:L63" si="59">K$14*K54</f>
        <v>29654.56054</v>
      </c>
      <c r="L63" s="87">
        <f t="shared" si="59"/>
        <v>25811.40184</v>
      </c>
      <c r="M63" s="88">
        <f t="shared" si="57"/>
        <v>0.1488938385</v>
      </c>
    </row>
    <row r="64">
      <c r="C64" s="38" t="s">
        <v>62</v>
      </c>
      <c r="D64" s="85"/>
      <c r="E64" s="86"/>
      <c r="F64" s="87">
        <f t="shared" ref="F64:G64" si="60">F$14*F55</f>
        <v>93860.43259</v>
      </c>
      <c r="G64" s="87">
        <f t="shared" si="60"/>
        <v>87715.06292</v>
      </c>
      <c r="H64" s="88">
        <f t="shared" si="55"/>
        <v>0.07006059692</v>
      </c>
      <c r="K64" s="87">
        <f t="shared" ref="K64:L64" si="61">K$14*K55</f>
        <v>87715.06292</v>
      </c>
      <c r="L64" s="87">
        <f t="shared" si="61"/>
        <v>78918.95026</v>
      </c>
      <c r="M64" s="88">
        <f t="shared" si="57"/>
        <v>0.1114575477</v>
      </c>
    </row>
    <row r="65">
      <c r="C65" s="38" t="s">
        <v>63</v>
      </c>
      <c r="D65" s="85"/>
      <c r="E65" s="86"/>
      <c r="F65" s="87">
        <f t="shared" ref="F65:G65" si="62">F$14*F56</f>
        <v>939.5759202</v>
      </c>
      <c r="G65" s="87">
        <f t="shared" si="62"/>
        <v>922.2908033</v>
      </c>
      <c r="H65" s="88">
        <f t="shared" si="55"/>
        <v>0.01874150413</v>
      </c>
      <c r="K65" s="87">
        <f t="shared" ref="K65:L65" si="63">K$14*K56</f>
        <v>922.2908033</v>
      </c>
      <c r="L65" s="87">
        <f t="shared" si="63"/>
        <v>850.7916257</v>
      </c>
      <c r="M65" s="88">
        <f t="shared" si="57"/>
        <v>0.08403841254</v>
      </c>
    </row>
    <row r="66">
      <c r="C66" s="38" t="s">
        <v>64</v>
      </c>
      <c r="D66" s="85"/>
      <c r="E66" s="86"/>
      <c r="F66" s="87">
        <f t="shared" ref="F66:G66" si="64">F$14*F57</f>
        <v>1985941.719</v>
      </c>
      <c r="G66" s="87">
        <f t="shared" si="64"/>
        <v>1776462.592</v>
      </c>
      <c r="H66" s="88">
        <f t="shared" si="55"/>
        <v>0.1179192448</v>
      </c>
      <c r="K66" s="87">
        <f t="shared" ref="K66:L66" si="65">K$14*K57</f>
        <v>1776462.592</v>
      </c>
      <c r="L66" s="87">
        <f t="shared" si="65"/>
        <v>1515931.666</v>
      </c>
      <c r="M66" s="88">
        <f t="shared" si="57"/>
        <v>0.1718619191</v>
      </c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  <c r="K71" s="1">
        <v>872.0</v>
      </c>
      <c r="L71" s="1">
        <v>939.0</v>
      </c>
      <c r="M71" s="57">
        <f t="shared" ref="M71:M72" si="66">L71/K71-1</f>
        <v>0.07683486239</v>
      </c>
    </row>
    <row r="72">
      <c r="D72" s="3"/>
      <c r="F72" s="4"/>
      <c r="G72" s="4"/>
      <c r="H72" s="5"/>
      <c r="K72" s="1">
        <v>4261.0</v>
      </c>
      <c r="L72" s="1">
        <v>4333.0</v>
      </c>
      <c r="M72" s="57">
        <f t="shared" si="66"/>
        <v>0.01689744192</v>
      </c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3"/>
    </customSheetView>
  </customSheetViews>
  <mergeCells count="1">
    <mergeCell ref="C1:C2"/>
  </mergeCells>
  <conditionalFormatting sqref="H6 H8:H12 H1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71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</row>
    <row r="3" ht="44.25" customHeight="1">
      <c r="C3" s="2" t="s">
        <v>2</v>
      </c>
      <c r="D3" s="3"/>
      <c r="E3" s="10"/>
      <c r="F3" s="11">
        <f t="shared" ref="F3:G3" si="1">J3</f>
        <v>45992</v>
      </c>
      <c r="G3" s="11">
        <f t="shared" si="1"/>
        <v>45962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2">J6</f>
        <v>17077917.11</v>
      </c>
      <c r="G6" s="31">
        <f t="shared" si="2"/>
        <v>17353114.77</v>
      </c>
      <c r="H6" s="32">
        <f>IFERROR(F6/G6-1,"-")</f>
        <v>-0.0158586893</v>
      </c>
      <c r="I6" s="30"/>
      <c r="J6" s="31">
        <v>1.7077917111111112E7</v>
      </c>
      <c r="K6" s="31">
        <v>1.7353114766666666E7</v>
      </c>
      <c r="L6" s="31">
        <v>1.733363816129032E7</v>
      </c>
      <c r="M6" s="31">
        <v>1.7250912066666666E7</v>
      </c>
      <c r="N6" s="31">
        <v>1.6963086129032258E7</v>
      </c>
      <c r="O6" s="31">
        <v>1.6451907548387097E7</v>
      </c>
      <c r="P6" s="31">
        <v>1.60498047E7</v>
      </c>
      <c r="Q6" s="31">
        <v>1.5378744870967742E7</v>
      </c>
      <c r="R6" s="31">
        <v>1.5522134966666667E7</v>
      </c>
      <c r="S6" s="31">
        <v>1.5739787096774194E7</v>
      </c>
      <c r="T6" s="31">
        <v>1.6095718892857144E7</v>
      </c>
      <c r="U6" s="31">
        <v>1.5381165451612903E7</v>
      </c>
      <c r="V6" s="31">
        <v>1.645945464516129E7</v>
      </c>
      <c r="W6" s="31">
        <v>1.5697047766666668E7</v>
      </c>
      <c r="X6" s="31">
        <v>1.5785600870967742E7</v>
      </c>
      <c r="Y6" s="31">
        <v>1.5425088633333333E7</v>
      </c>
      <c r="Z6" s="31">
        <v>1.5621278193548387E7</v>
      </c>
      <c r="AA6" s="31">
        <v>1.527326064516129E7</v>
      </c>
      <c r="AB6" s="31">
        <v>1.4769527766666668E7</v>
      </c>
      <c r="AC6" s="31">
        <v>1.4762101612903226E7</v>
      </c>
      <c r="AD6" s="31">
        <v>1.4564604366666667E7</v>
      </c>
      <c r="AE6" s="31">
        <v>1.4923966322580645E7</v>
      </c>
      <c r="AF6" s="31">
        <v>1.3116288862068966E7</v>
      </c>
      <c r="AG6" s="31">
        <v>1.5054287193548387E7</v>
      </c>
      <c r="AH6" s="31">
        <v>1.4119808129032258E7</v>
      </c>
      <c r="AI6" s="31">
        <v>1.3675490066666666E7</v>
      </c>
      <c r="AJ6" s="31">
        <v>1.3120482967741935E7</v>
      </c>
      <c r="AK6" s="31">
        <v>1.2841077833333334E7</v>
      </c>
      <c r="AL6" s="31">
        <v>1.2584171129032258E7</v>
      </c>
      <c r="AM6" s="31">
        <v>1.146430158064516E7</v>
      </c>
      <c r="AN6" s="31">
        <v>1.02548512E7</v>
      </c>
      <c r="AO6" s="31">
        <v>1.058202935483871E7</v>
      </c>
      <c r="AP6" s="31">
        <v>1.05520533E7</v>
      </c>
      <c r="AQ6" s="31">
        <v>1.0536685064516129E7</v>
      </c>
      <c r="AR6" s="31">
        <v>1.048750792857143E7</v>
      </c>
      <c r="AS6" s="31">
        <v>9444819.032258065</v>
      </c>
      <c r="AT6" s="31">
        <v>1.0513720774193548E7</v>
      </c>
      <c r="AU6" s="31">
        <v>1.0239391633333333E7</v>
      </c>
      <c r="AV6" s="31">
        <v>9799002.161290323</v>
      </c>
      <c r="AW6" s="31">
        <v>9454584.6</v>
      </c>
      <c r="AX6" s="31">
        <v>9642264.032258065</v>
      </c>
      <c r="AY6" s="33">
        <v>9071556.483870968</v>
      </c>
      <c r="AZ6" s="33">
        <v>8792186.233333332</v>
      </c>
      <c r="BA6" s="33">
        <v>8643704.096774194</v>
      </c>
      <c r="BB6" s="33">
        <v>8599942.633333333</v>
      </c>
      <c r="BC6" s="33">
        <v>8662844.741935484</v>
      </c>
      <c r="BD6" s="33">
        <v>8085849.142857143</v>
      </c>
      <c r="BE6" s="33">
        <v>8526716.483870968</v>
      </c>
    </row>
    <row r="7">
      <c r="D7" s="3"/>
      <c r="F7" s="4"/>
      <c r="G7" s="4"/>
      <c r="H7" s="5"/>
      <c r="L7" s="35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3">J8</f>
        <v>2794239.889</v>
      </c>
      <c r="G8" s="31">
        <f t="shared" si="3"/>
        <v>2858756.867</v>
      </c>
      <c r="H8" s="32">
        <f t="shared" ref="H8:H12" si="5">IFERROR(F8/G8-1,"-")</f>
        <v>-0.02256819337</v>
      </c>
      <c r="I8" s="30"/>
      <c r="J8" s="31">
        <v>2794239.888888889</v>
      </c>
      <c r="K8" s="31">
        <v>2858756.8666666667</v>
      </c>
      <c r="L8" s="31">
        <v>2735222.8387096776</v>
      </c>
      <c r="M8" s="31">
        <v>2730564.566666667</v>
      </c>
      <c r="N8" s="31">
        <v>2688161.4838709678</v>
      </c>
      <c r="O8" s="31">
        <v>2543010.9032258065</v>
      </c>
      <c r="P8" s="31">
        <v>2559872.8333333335</v>
      </c>
      <c r="Q8" s="31">
        <v>2402297.6129032257</v>
      </c>
      <c r="R8" s="31">
        <v>2222188.466666667</v>
      </c>
      <c r="S8" s="31">
        <v>2344434.806451613</v>
      </c>
      <c r="T8" s="31">
        <v>2495370.6071428573</v>
      </c>
      <c r="U8" s="31">
        <v>2388790.4838709678</v>
      </c>
      <c r="V8" s="31">
        <v>2633163.064516129</v>
      </c>
      <c r="W8" s="31">
        <v>2430000.9</v>
      </c>
      <c r="X8" s="31">
        <v>2353248.064516129</v>
      </c>
      <c r="Y8" s="31">
        <v>2325252.933333333</v>
      </c>
      <c r="Z8" s="31">
        <v>2281945.709677419</v>
      </c>
      <c r="AA8" s="31">
        <v>2181079.193548387</v>
      </c>
      <c r="AB8" s="31">
        <v>2109519.0</v>
      </c>
      <c r="AC8" s="31">
        <v>2064632.1290322582</v>
      </c>
      <c r="AD8" s="31">
        <v>2074630.2333333334</v>
      </c>
      <c r="AE8" s="31">
        <v>2209287.6129032257</v>
      </c>
      <c r="AF8" s="31">
        <v>1720176.4137931035</v>
      </c>
      <c r="AG8" s="31">
        <v>2535954.709677419</v>
      </c>
      <c r="AH8" s="31">
        <v>2155496.064516129</v>
      </c>
      <c r="AI8" s="31">
        <v>2107773.1333333333</v>
      </c>
      <c r="AJ8" s="36">
        <v>1969111.0</v>
      </c>
      <c r="AK8" s="36">
        <v>1836275.0</v>
      </c>
      <c r="AL8" s="36">
        <v>1748688.4193548388</v>
      </c>
      <c r="AM8" s="36">
        <v>1595566.935483871</v>
      </c>
      <c r="AN8" s="36">
        <v>1377544.9666666666</v>
      </c>
      <c r="AO8" s="36">
        <v>1275495.322580645</v>
      </c>
      <c r="AP8" s="36">
        <v>1235527.0</v>
      </c>
      <c r="AQ8" s="36">
        <v>1242870.8387096773</v>
      </c>
      <c r="AR8" s="36">
        <v>1291834.5</v>
      </c>
      <c r="AS8" s="36">
        <v>1119038.5161290322</v>
      </c>
      <c r="AT8" s="36">
        <v>1318466.3870967743</v>
      </c>
      <c r="AU8" s="36">
        <v>1209617.7</v>
      </c>
      <c r="AV8" s="36">
        <v>1151106.0322580645</v>
      </c>
      <c r="AW8" s="36">
        <v>1161148.1666666667</v>
      </c>
      <c r="AX8" s="36">
        <v>1222162.9032258065</v>
      </c>
      <c r="AY8" s="37">
        <v>1150699.3548387096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4">J9</f>
        <v>0.1636171361</v>
      </c>
      <c r="G9" s="40">
        <f t="shared" si="4"/>
        <v>0.1647402732</v>
      </c>
      <c r="H9" s="32">
        <f t="shared" si="5"/>
        <v>-0.006817622629</v>
      </c>
      <c r="I9" s="30"/>
      <c r="J9" s="40">
        <v>0.1636171361360526</v>
      </c>
      <c r="K9" s="40">
        <v>0.16474027315015569</v>
      </c>
      <c r="L9" s="40">
        <v>0.1577985425366735</v>
      </c>
      <c r="M9" s="40">
        <v>0.15828522898466577</v>
      </c>
      <c r="N9" s="40">
        <v>0.15847125124656353</v>
      </c>
      <c r="O9" s="40">
        <v>0.15457240418756893</v>
      </c>
      <c r="P9" s="40">
        <v>0.1594955752535315</v>
      </c>
      <c r="Q9" s="40">
        <v>0.15620895157954823</v>
      </c>
      <c r="R9" s="40">
        <v>0.1431625527956529</v>
      </c>
      <c r="S9" s="40">
        <v>0.1489495882019964</v>
      </c>
      <c r="T9" s="40">
        <v>0.1550331876291799</v>
      </c>
      <c r="U9" s="40">
        <v>0.15530620819246657</v>
      </c>
      <c r="V9" s="40">
        <v>0.1599787551460716</v>
      </c>
      <c r="W9" s="40">
        <v>0.15480623720596734</v>
      </c>
      <c r="X9" s="40">
        <v>0.14907560907891257</v>
      </c>
      <c r="Y9" s="40">
        <v>0.15074486692468686</v>
      </c>
      <c r="Z9" s="40">
        <v>0.1460793208727226</v>
      </c>
      <c r="AA9" s="40">
        <v>0.14280376955652707</v>
      </c>
      <c r="AB9" s="40">
        <v>0.14282914344499026</v>
      </c>
      <c r="AC9" s="40">
        <v>0.13986031143611755</v>
      </c>
      <c r="AD9" s="40">
        <v>0.14244329479223228</v>
      </c>
      <c r="AE9" s="40">
        <v>0.14803622342409553</v>
      </c>
      <c r="AF9" s="40">
        <v>0.13114810384877135</v>
      </c>
      <c r="AG9" s="40">
        <v>0.16845398769622377</v>
      </c>
      <c r="AH9" s="40">
        <v>0.15265760305086115</v>
      </c>
      <c r="AI9" s="40">
        <v>0.15412779527886364</v>
      </c>
      <c r="AJ9" s="36">
        <v>0.1500791552293664</v>
      </c>
      <c r="AK9" s="36">
        <v>0.1430000677383429</v>
      </c>
      <c r="AL9" s="36">
        <v>0.1389593642222915</v>
      </c>
      <c r="AM9" s="36">
        <v>0.1391769855546734</v>
      </c>
      <c r="AN9" s="36">
        <v>0.13433105364480244</v>
      </c>
      <c r="AO9" s="36">
        <v>0.12053409415249973</v>
      </c>
      <c r="AP9" s="36">
        <v>0.11708877550874387</v>
      </c>
      <c r="AQ9" s="36">
        <v>0.11795653292279104</v>
      </c>
      <c r="AR9" s="36">
        <v>0.1231784050890314</v>
      </c>
      <c r="AS9" s="36">
        <v>0.1184817318687675</v>
      </c>
      <c r="AT9" s="36">
        <v>0.12540435640377817</v>
      </c>
      <c r="AU9" s="36">
        <v>0.11813374693689892</v>
      </c>
      <c r="AV9" s="36">
        <v>0.11747176021711254</v>
      </c>
      <c r="AW9" s="36">
        <v>0.12281323990338684</v>
      </c>
      <c r="AX9" s="36">
        <v>0.12675061574097918</v>
      </c>
      <c r="AY9" s="37">
        <v>0.12684695916126723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6">J10</f>
        <v>4855377.444</v>
      </c>
      <c r="G10" s="31">
        <f t="shared" si="6"/>
        <v>5172652.733</v>
      </c>
      <c r="H10" s="32">
        <f t="shared" si="5"/>
        <v>-0.06133705571</v>
      </c>
      <c r="I10" s="30"/>
      <c r="J10" s="31">
        <v>4855377.444444745</v>
      </c>
      <c r="K10" s="31">
        <v>5172652.733333718</v>
      </c>
      <c r="L10" s="31">
        <v>4860742.612903524</v>
      </c>
      <c r="M10" s="31">
        <v>4850021.500000223</v>
      </c>
      <c r="N10" s="31">
        <v>4759735.225806593</v>
      </c>
      <c r="O10" s="31">
        <v>4436049.8064517</v>
      </c>
      <c r="P10" s="31">
        <v>4581284.100000142</v>
      </c>
      <c r="Q10" s="31">
        <v>4122436.1290323567</v>
      </c>
      <c r="R10" s="31">
        <v>3664676.4666667785</v>
      </c>
      <c r="S10" s="31">
        <v>3853235.645161447</v>
      </c>
      <c r="T10" s="31">
        <v>4100332.7142859125</v>
      </c>
      <c r="U10" s="31">
        <v>4217073.387096947</v>
      </c>
      <c r="V10" s="31">
        <v>4548179.322581048</v>
      </c>
      <c r="W10" s="31">
        <v>4091847.9000003273</v>
      </c>
      <c r="X10" s="31">
        <v>3868208.516129368</v>
      </c>
      <c r="Y10" s="31">
        <v>3885111.633333644</v>
      </c>
      <c r="Z10" s="31">
        <v>3771336.0000003525</v>
      </c>
      <c r="AA10" s="31">
        <v>3668604.290322966</v>
      </c>
      <c r="AB10" s="31">
        <v>3570666.10000032</v>
      </c>
      <c r="AC10" s="31">
        <v>3423727.548387422</v>
      </c>
      <c r="AD10" s="31">
        <v>3405629.83333355</v>
      </c>
      <c r="AE10" s="31">
        <v>3685870.258064787</v>
      </c>
      <c r="AF10" s="31">
        <v>2847476.448275936</v>
      </c>
      <c r="AG10" s="31">
        <v>4417486.290322734</v>
      </c>
      <c r="AH10" s="31">
        <v>3690439.516129232</v>
      </c>
      <c r="AI10" s="31">
        <v>3650276.3000001395</v>
      </c>
      <c r="AJ10" s="36">
        <v>3353819.7096775225</v>
      </c>
      <c r="AK10" s="36">
        <v>3051234.0333334017</v>
      </c>
      <c r="AL10" s="36">
        <v>2849607.0967742535</v>
      </c>
      <c r="AM10" s="36">
        <v>2676605.1290323003</v>
      </c>
      <c r="AN10" s="36">
        <v>2246240.800000028</v>
      </c>
      <c r="AO10" s="36">
        <v>2020964.7741935635</v>
      </c>
      <c r="AP10" s="36">
        <v>1930089.5666666778</v>
      </c>
      <c r="AQ10" s="36">
        <v>1916348.8709677414</v>
      </c>
      <c r="AR10" s="36">
        <v>1978613.6428571292</v>
      </c>
      <c r="AS10" s="36">
        <v>1784781.9354838643</v>
      </c>
      <c r="AT10" s="36">
        <v>2076970.3870967736</v>
      </c>
      <c r="AU10" s="36">
        <v>1885057.6666666775</v>
      </c>
      <c r="AV10" s="36">
        <v>1770780.3225806565</v>
      </c>
      <c r="AW10" s="36">
        <v>1844806.4666666707</v>
      </c>
      <c r="AX10" s="36">
        <v>2000539.5483870963</v>
      </c>
      <c r="AY10" s="37">
        <v>1876127.6451613067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7">J11</f>
        <v>0.2843073551</v>
      </c>
      <c r="G11" s="41">
        <f t="shared" si="7"/>
        <v>0.2980820909</v>
      </c>
      <c r="H11" s="32">
        <f t="shared" si="5"/>
        <v>-0.04621121572</v>
      </c>
      <c r="I11" s="30"/>
      <c r="J11" s="41">
        <v>0.28430735509810934</v>
      </c>
      <c r="K11" s="41">
        <v>0.29808209090334536</v>
      </c>
      <c r="L11" s="41">
        <v>0.28042252686216734</v>
      </c>
      <c r="M11" s="41">
        <v>0.2811458015238365</v>
      </c>
      <c r="N11" s="41">
        <v>0.2805937073950432</v>
      </c>
      <c r="O11" s="41">
        <v>0.2696374139840458</v>
      </c>
      <c r="P11" s="41">
        <v>0.28544173500130765</v>
      </c>
      <c r="Q11" s="41">
        <v>0.26806063587248674</v>
      </c>
      <c r="R11" s="41">
        <v>0.23609358342370845</v>
      </c>
      <c r="S11" s="41">
        <v>0.2448086255214438</v>
      </c>
      <c r="T11" s="41">
        <v>0.2547467896016457</v>
      </c>
      <c r="U11" s="41">
        <v>0.27417125187056196</v>
      </c>
      <c r="V11" s="41">
        <v>0.27632624656358895</v>
      </c>
      <c r="W11" s="41">
        <v>0.26067627243191144</v>
      </c>
      <c r="X11" s="41">
        <v>0.24504664394775275</v>
      </c>
      <c r="Y11" s="41">
        <v>0.25186964727956174</v>
      </c>
      <c r="Z11" s="41">
        <v>0.24142300990183507</v>
      </c>
      <c r="AA11" s="41">
        <v>0.24019784481876263</v>
      </c>
      <c r="AB11" s="41">
        <v>0.2417589889406588</v>
      </c>
      <c r="AC11" s="41">
        <v>0.23192683793714153</v>
      </c>
      <c r="AD11" s="41">
        <v>0.2338292031555527</v>
      </c>
      <c r="AE11" s="41">
        <v>0.24697658641107334</v>
      </c>
      <c r="AF11" s="41">
        <v>0.21709467351779368</v>
      </c>
      <c r="AG11" s="41">
        <v>0.29343709426613546</v>
      </c>
      <c r="AH11" s="41">
        <v>0.26136612356234384</v>
      </c>
      <c r="AI11" s="41">
        <v>0.2669210596626082</v>
      </c>
      <c r="AJ11" s="31">
        <v>0.2556170925966091</v>
      </c>
      <c r="AK11" s="31">
        <v>0.23761510310395426</v>
      </c>
      <c r="AL11" s="31">
        <v>0.22644376554925255</v>
      </c>
      <c r="AM11" s="31">
        <v>0.23347302146614263</v>
      </c>
      <c r="AN11" s="31">
        <v>0.21904177410200046</v>
      </c>
      <c r="AO11" s="31">
        <v>0.19098083235513447</v>
      </c>
      <c r="AP11" s="31">
        <v>0.1829112791409685</v>
      </c>
      <c r="AQ11" s="31">
        <v>0.18187398211429268</v>
      </c>
      <c r="AR11" s="31">
        <v>0.18866385192107776</v>
      </c>
      <c r="AS11" s="31">
        <v>0.18896941586578594</v>
      </c>
      <c r="AT11" s="31">
        <v>0.19754855885033595</v>
      </c>
      <c r="AU11" s="31">
        <v>0.1840986002068773</v>
      </c>
      <c r="AV11" s="31">
        <v>0.18071026962070613</v>
      </c>
      <c r="AW11" s="31">
        <v>0.19512295301336358</v>
      </c>
      <c r="AX11" s="31">
        <v>0.2074761219662019</v>
      </c>
      <c r="AY11" s="33">
        <v>0.2068143045239283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8">J12</f>
        <v>34497569.11</v>
      </c>
      <c r="G12" s="31">
        <f t="shared" si="8"/>
        <v>42052120.11</v>
      </c>
      <c r="H12" s="32">
        <f t="shared" si="5"/>
        <v>-0.1796473277</v>
      </c>
      <c r="I12" s="30"/>
      <c r="J12" s="31">
        <v>3.449756910946002E7</v>
      </c>
      <c r="K12" s="31">
        <v>4.205212011008675E7</v>
      </c>
      <c r="L12" s="31">
        <v>3.789599266196759E7</v>
      </c>
      <c r="M12" s="31">
        <v>3.603785347735469E7</v>
      </c>
      <c r="N12" s="31">
        <v>3.541136406232819E7</v>
      </c>
      <c r="O12" s="31">
        <v>3.2781722029210076E7</v>
      </c>
      <c r="P12" s="31">
        <v>3.4300737060006164E7</v>
      </c>
      <c r="Q12" s="31">
        <v>3.2751389056306258E7</v>
      </c>
      <c r="R12" s="31">
        <v>3.071148795396161E7</v>
      </c>
      <c r="S12" s="31">
        <v>3.410524146053003E7</v>
      </c>
      <c r="T12" s="31">
        <v>3.5265125272888236E7</v>
      </c>
      <c r="U12" s="31">
        <v>3.4550877036656715E7</v>
      </c>
      <c r="V12" s="31">
        <v>3.6289306765315E7</v>
      </c>
      <c r="W12" s="31">
        <v>3.386361899733464E7</v>
      </c>
      <c r="X12" s="31">
        <v>3.1429746491619598E7</v>
      </c>
      <c r="Y12" s="31">
        <v>3.0915721244757634E7</v>
      </c>
      <c r="Z12" s="31">
        <v>2.914437049477713E7</v>
      </c>
      <c r="AA12" s="31">
        <v>2.6941087057318E7</v>
      </c>
      <c r="AB12" s="31">
        <v>2.6575779289196037E7</v>
      </c>
      <c r="AC12" s="31">
        <v>2.5351737209282324E7</v>
      </c>
      <c r="AD12" s="31">
        <v>2.5130304637953836E7</v>
      </c>
      <c r="AE12" s="31">
        <v>2.7231864724002417E7</v>
      </c>
      <c r="AF12" s="31">
        <v>2.179987840147792E7</v>
      </c>
      <c r="AG12" s="31">
        <v>3.457153066223833E7</v>
      </c>
      <c r="AH12" s="31">
        <v>2.9754997584550817E7</v>
      </c>
      <c r="AI12" s="31">
        <v>2.7788472080510795E7</v>
      </c>
      <c r="AJ12" s="31">
        <v>2.5304029528006125E7</v>
      </c>
      <c r="AK12" s="31">
        <v>2.4008906302947562E7</v>
      </c>
      <c r="AL12" s="31">
        <v>2.1657121373877205E7</v>
      </c>
      <c r="AM12" s="31">
        <v>2.0171430178570453E7</v>
      </c>
      <c r="AN12" s="31">
        <v>1.8302614565055396E7</v>
      </c>
      <c r="AO12" s="31">
        <v>1.6292907479016239E7</v>
      </c>
      <c r="AP12" s="31">
        <v>1.564326523445835E7</v>
      </c>
      <c r="AQ12" s="31">
        <v>1.5996912591788763E7</v>
      </c>
      <c r="AR12" s="31">
        <v>1.6817820123518743E7</v>
      </c>
      <c r="AS12" s="31">
        <v>1.5308008258975778E7</v>
      </c>
      <c r="AT12" s="31">
        <v>1.7198053511311166E7</v>
      </c>
      <c r="AU12" s="31">
        <v>1.5523661842775913E7</v>
      </c>
      <c r="AV12" s="31">
        <v>1.5367358391632022E7</v>
      </c>
      <c r="AW12" s="31">
        <v>1.5839883098558512E7</v>
      </c>
      <c r="AX12" s="31">
        <v>1.7029002595645353E7</v>
      </c>
      <c r="AY12" s="33">
        <v>1.6477813722581286E7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9">J14</f>
        <v>1617045.811</v>
      </c>
      <c r="G14" s="31">
        <f t="shared" si="9"/>
        <v>1765607.498</v>
      </c>
      <c r="H14" s="32">
        <f t="shared" ref="H14:H16" si="11">IFERROR(F14/G14-1,"-")</f>
        <v>-0.0841419666</v>
      </c>
      <c r="I14" s="30"/>
      <c r="J14" s="31">
        <v>1617045.8109504904</v>
      </c>
      <c r="K14" s="31">
        <v>1765607.4980872637</v>
      </c>
      <c r="L14" s="31">
        <v>1557065.3060863193</v>
      </c>
      <c r="M14" s="31">
        <v>1469720.776869227</v>
      </c>
      <c r="N14" s="31">
        <v>1413753.6993306591</v>
      </c>
      <c r="O14" s="31">
        <v>1323837.4137159507</v>
      </c>
      <c r="P14" s="31">
        <v>1302096.8145024353</v>
      </c>
      <c r="Q14" s="31">
        <v>1178679.422422816</v>
      </c>
      <c r="R14" s="31">
        <v>1114930.0779097097</v>
      </c>
      <c r="S14" s="31">
        <v>1106419.2015716222</v>
      </c>
      <c r="T14" s="31">
        <v>1109815.9447698568</v>
      </c>
      <c r="U14" s="31">
        <v>1056161.5883074645</v>
      </c>
      <c r="V14" s="31">
        <v>1288206.4838234067</v>
      </c>
      <c r="W14" s="31">
        <v>1173597.8491383952</v>
      </c>
      <c r="X14" s="36">
        <v>1127489.7029824937</v>
      </c>
      <c r="Y14" s="36">
        <v>1092356.6977303226</v>
      </c>
      <c r="Z14" s="36">
        <v>1044010.9260637448</v>
      </c>
      <c r="AA14" s="36">
        <v>982328.6851998593</v>
      </c>
      <c r="AB14" s="36">
        <v>934302.4460459127</v>
      </c>
      <c r="AC14" s="36">
        <v>863895.9310913287</v>
      </c>
      <c r="AD14" s="36">
        <v>835358.5925641861</v>
      </c>
      <c r="AE14" s="36">
        <v>819311.5862131506</v>
      </c>
      <c r="AF14" s="36">
        <v>603790.3510916277</v>
      </c>
      <c r="AG14" s="36">
        <v>884494.0355235168</v>
      </c>
      <c r="AH14" s="36">
        <v>845987.9818069711</v>
      </c>
      <c r="AI14" s="36">
        <v>814796.1716146998</v>
      </c>
      <c r="AJ14" s="36">
        <v>743580.3402906109</v>
      </c>
      <c r="AK14" s="36">
        <v>700639.5403870457</v>
      </c>
      <c r="AL14" s="36">
        <v>673519.2360198159</v>
      </c>
      <c r="AM14" s="36">
        <v>634615.9734640059</v>
      </c>
      <c r="AN14" s="36">
        <v>581372.1513861417</v>
      </c>
      <c r="AO14" s="36">
        <v>517674.0206500707</v>
      </c>
      <c r="AP14" s="36">
        <v>506530.93055143463</v>
      </c>
      <c r="AQ14" s="36">
        <v>497234.2223578181</v>
      </c>
      <c r="AR14" s="36">
        <v>508078.6297721672</v>
      </c>
      <c r="AS14" s="36">
        <v>427936.63601152936</v>
      </c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>
        <f t="shared" ref="F15:G15" si="10">J15</f>
        <v>0.04687419585</v>
      </c>
      <c r="G15" s="40">
        <f t="shared" si="10"/>
        <v>0.04198617082</v>
      </c>
      <c r="H15" s="32">
        <f t="shared" si="11"/>
        <v>0.1164198817</v>
      </c>
      <c r="I15" s="30"/>
      <c r="J15" s="40">
        <v>0.04687419585477574</v>
      </c>
      <c r="K15" s="40">
        <v>0.04198617081529166</v>
      </c>
      <c r="L15" s="40">
        <v>0.04108786171602228</v>
      </c>
      <c r="M15" s="40">
        <v>0.040782694723834306</v>
      </c>
      <c r="N15" s="40">
        <v>0.039923728914884084</v>
      </c>
      <c r="O15" s="40">
        <v>0.04038340061990485</v>
      </c>
      <c r="P15" s="40">
        <v>0.03796119051974101</v>
      </c>
      <c r="Q15" s="40">
        <v>0.03598868495001625</v>
      </c>
      <c r="R15" s="40">
        <v>0.03630335591623101</v>
      </c>
      <c r="S15" s="40">
        <v>0.03244132438857178</v>
      </c>
      <c r="T15" s="40">
        <v>0.03147063667523907</v>
      </c>
      <c r="U15" s="40">
        <v>0.030568300399058786</v>
      </c>
      <c r="V15" s="40">
        <v>0.035498238975858944</v>
      </c>
      <c r="W15" s="40">
        <v>0.0346565985528826</v>
      </c>
      <c r="X15" s="36">
        <v>0.03587333112225791</v>
      </c>
      <c r="Y15" s="36">
        <v>0.03533337259325797</v>
      </c>
      <c r="Z15" s="36">
        <v>0.03582204413201646</v>
      </c>
      <c r="AA15" s="36">
        <v>0.0364621027766966</v>
      </c>
      <c r="AB15" s="36">
        <v>0.03515616365860393</v>
      </c>
      <c r="AC15" s="36">
        <v>0.03407639973386205</v>
      </c>
      <c r="AD15" s="36">
        <v>0.03324108500071899</v>
      </c>
      <c r="AE15" s="36">
        <v>0.030086503238649018</v>
      </c>
      <c r="AF15" s="36">
        <v>0.0276969595872009</v>
      </c>
      <c r="AG15" s="36">
        <v>0.025584462665681994</v>
      </c>
      <c r="AH15" s="36">
        <v>0.028431794672576925</v>
      </c>
      <c r="AI15" s="36">
        <v>0.029321373598879878</v>
      </c>
      <c r="AJ15" s="36">
        <v>0.029385847003838943</v>
      </c>
      <c r="AK15" s="36">
        <v>0.029182484680738186</v>
      </c>
      <c r="AL15" s="36">
        <v>0.031099204016661882</v>
      </c>
      <c r="AM15" s="36">
        <v>0.03146112932231268</v>
      </c>
      <c r="AN15" s="36">
        <v>0.031764431760265395</v>
      </c>
      <c r="AO15" s="36">
        <v>0.031772967551481346</v>
      </c>
      <c r="AP15" s="36">
        <v>0.032380127994996136</v>
      </c>
      <c r="AQ15" s="36">
        <v>0.031083136793099007</v>
      </c>
      <c r="AR15" s="36">
        <v>0.030210730406234326</v>
      </c>
      <c r="AS15" s="36">
        <v>0.027955082645099223</v>
      </c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>
        <f t="shared" ref="F16:G16" si="12">J16</f>
        <v>7.887646207</v>
      </c>
      <c r="G16" s="36">
        <f t="shared" si="12"/>
        <v>8.199824615</v>
      </c>
      <c r="H16" s="32">
        <f t="shared" si="11"/>
        <v>-0.03807135182</v>
      </c>
      <c r="I16" s="30"/>
      <c r="J16" s="36">
        <v>7.887646207437087</v>
      </c>
      <c r="K16" s="36">
        <v>8.199824615207234</v>
      </c>
      <c r="L16" s="36">
        <v>8.198488541074857</v>
      </c>
      <c r="M16" s="36">
        <v>8.083092957831331</v>
      </c>
      <c r="N16" s="36">
        <v>7.833986792457896</v>
      </c>
      <c r="O16" s="36">
        <v>7.680633270681912</v>
      </c>
      <c r="P16" s="36">
        <v>8.302914024008452</v>
      </c>
      <c r="Q16" s="36">
        <v>8.080646162702358</v>
      </c>
      <c r="R16" s="36">
        <v>7.78158477866161</v>
      </c>
      <c r="S16" s="36">
        <v>8.232562871710778</v>
      </c>
      <c r="T16" s="36">
        <v>9.6774970789437</v>
      </c>
      <c r="U16" s="36">
        <v>11.881546726401421</v>
      </c>
      <c r="V16" s="36">
        <v>9.550830115670363</v>
      </c>
      <c r="W16" s="36">
        <v>13.839190066024866</v>
      </c>
      <c r="X16" s="31">
        <v>12.407333167284245</v>
      </c>
      <c r="Y16" s="31">
        <v>12.596472101476612</v>
      </c>
      <c r="Z16" s="31">
        <v>8.0945602341315</v>
      </c>
      <c r="AA16" s="31">
        <v>9.136323076822118</v>
      </c>
      <c r="AB16" s="31">
        <v>7.684807815107376</v>
      </c>
      <c r="AC16" s="31">
        <v>9.15069376101068</v>
      </c>
      <c r="AD16" s="31">
        <v>7.45547905104513</v>
      </c>
      <c r="AE16" s="31">
        <v>7.064375072442344</v>
      </c>
      <c r="AF16" s="31">
        <v>6.813022364107659</v>
      </c>
      <c r="AG16" s="31">
        <v>7.10210789350102</v>
      </c>
      <c r="AH16" s="31">
        <v>6.088166520461424</v>
      </c>
      <c r="AI16" s="31">
        <v>6.187547707745242</v>
      </c>
      <c r="AJ16" s="31">
        <v>5.763354450682118</v>
      </c>
      <c r="AK16" s="31">
        <v>6.1243957203470085</v>
      </c>
      <c r="AL16" s="31">
        <v>5.85555196375065</v>
      </c>
      <c r="AM16" s="31">
        <v>5.779370470152191</v>
      </c>
      <c r="AN16" s="31">
        <v>5.608779918948519</v>
      </c>
      <c r="AO16" s="31">
        <v>5.532187681165694</v>
      </c>
      <c r="AP16" s="31">
        <v>5.317045049378462</v>
      </c>
      <c r="AQ16" s="31">
        <v>5.250808425552662</v>
      </c>
      <c r="AR16" s="31">
        <v>5.248976768366115</v>
      </c>
      <c r="AS16" s="31">
        <v>5.636232260938287</v>
      </c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3">J18</f>
        <v>1567018.882</v>
      </c>
      <c r="G18" s="31">
        <f t="shared" si="13"/>
        <v>1693040.475</v>
      </c>
      <c r="H18" s="32">
        <f t="shared" ref="H18:H19" si="15">IFERROR(F18/G18-1,"-")</f>
        <v>-0.07443507381</v>
      </c>
      <c r="I18" s="30"/>
      <c r="J18" s="31">
        <v>1567018.88228371</v>
      </c>
      <c r="K18" s="31">
        <v>1693040.47499663</v>
      </c>
      <c r="L18" s="31">
        <v>1500310.79649437</v>
      </c>
      <c r="M18" s="31">
        <v>1424432.40221352</v>
      </c>
      <c r="N18" s="31">
        <v>1381956.7874527</v>
      </c>
      <c r="O18" s="31">
        <v>1295562.68249427</v>
      </c>
      <c r="P18" s="31">
        <v>1262939.89411231</v>
      </c>
      <c r="Q18" s="31">
        <v>1156213.45658471</v>
      </c>
      <c r="R18" s="31">
        <v>1090048.64736089</v>
      </c>
      <c r="S18" s="31">
        <v>1085000.04837455</v>
      </c>
      <c r="T18" s="31">
        <v>1088103.58509896</v>
      </c>
      <c r="U18" s="31">
        <v>1038595.58398322</v>
      </c>
      <c r="V18" s="31">
        <v>1282034.31937203</v>
      </c>
      <c r="W18" s="31">
        <v>1149396.61898322</v>
      </c>
      <c r="X18" s="36">
        <v>1107619.16537463</v>
      </c>
      <c r="Y18" s="36">
        <v>1068579.22785675</v>
      </c>
      <c r="Z18" s="36">
        <v>1018678.8834223</v>
      </c>
      <c r="AA18" s="36">
        <v>958018.09888204</v>
      </c>
      <c r="AB18" s="36">
        <v>910636.468854208</v>
      </c>
      <c r="AC18" s="36">
        <v>837027.427484514</v>
      </c>
      <c r="AD18" s="36">
        <v>810292.516206825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>
        <f t="shared" ref="F19:G19" si="14">J19</f>
        <v>0.04542403777</v>
      </c>
      <c r="G19" s="40">
        <f t="shared" si="14"/>
        <v>0.040260526</v>
      </c>
      <c r="H19" s="32">
        <f t="shared" si="15"/>
        <v>0.1282524668</v>
      </c>
      <c r="I19" s="30"/>
      <c r="J19" s="58">
        <v>0.0454240377723889</v>
      </c>
      <c r="K19" s="58">
        <v>0.0402605259987958</v>
      </c>
      <c r="L19" s="58">
        <v>0.0395902228997443</v>
      </c>
      <c r="M19" s="58">
        <v>0.0395260057069881</v>
      </c>
      <c r="N19" s="58">
        <v>0.0390257993174252</v>
      </c>
      <c r="O19" s="58">
        <v>0.039520885490392</v>
      </c>
      <c r="P19" s="58">
        <v>0.0368196138731046</v>
      </c>
      <c r="Q19" s="58">
        <v>0.0353027303543354</v>
      </c>
      <c r="R19" s="58">
        <v>0.0354931890305981</v>
      </c>
      <c r="S19" s="58">
        <v>0.0318132932625686</v>
      </c>
      <c r="T19" s="58">
        <v>0.0308549473928991</v>
      </c>
      <c r="U19" s="58">
        <v>0.0300598906036837</v>
      </c>
      <c r="V19" s="58">
        <v>0.0353281567945902</v>
      </c>
      <c r="W19" s="58">
        <v>0.0339419309871663</v>
      </c>
      <c r="X19" s="36">
        <v>0.0352411103815287</v>
      </c>
      <c r="Y19" s="36">
        <v>0.0345642664907244</v>
      </c>
      <c r="Z19" s="36">
        <v>0.0349528525107399</v>
      </c>
      <c r="AA19" s="36">
        <v>0.035559741774481</v>
      </c>
      <c r="AB19" s="36">
        <v>0.0342656544120387</v>
      </c>
      <c r="AC19" s="36">
        <v>0.0330165708398887</v>
      </c>
      <c r="AD19" s="36">
        <v>0.0322436408105875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6">J21</f>
        <v>1565607.419</v>
      </c>
      <c r="G21" s="31">
        <f t="shared" si="16"/>
        <v>1691588.175</v>
      </c>
      <c r="H21" s="32">
        <f t="shared" ref="H21:H22" si="18">IFERROR(F21/G21-1,"-")</f>
        <v>-0.07447483848</v>
      </c>
      <c r="I21" s="30"/>
      <c r="J21" s="31">
        <v>1565607.41914096</v>
      </c>
      <c r="K21" s="31">
        <v>1691588.17527761</v>
      </c>
      <c r="L21" s="31">
        <v>1498306.31055131</v>
      </c>
      <c r="M21" s="31">
        <v>1423235.35851883</v>
      </c>
      <c r="N21" s="31">
        <v>1380870.59299203</v>
      </c>
      <c r="O21" s="31">
        <v>1294632.57049214</v>
      </c>
      <c r="P21" s="31">
        <v>1261623.25068923</v>
      </c>
      <c r="Q21" s="31">
        <v>1152010.44241646</v>
      </c>
      <c r="R21" s="31">
        <v>1087983.73505511</v>
      </c>
      <c r="S21" s="31">
        <v>1079614.85567567</v>
      </c>
      <c r="T21" s="31">
        <v>1075201.69120759</v>
      </c>
      <c r="U21" s="31">
        <v>1025813.31587019</v>
      </c>
      <c r="V21" s="31">
        <v>1242528.53512577</v>
      </c>
      <c r="W21" s="31">
        <v>1129512.53754005</v>
      </c>
      <c r="X21" s="36">
        <v>1054701.0354788</v>
      </c>
      <c r="Y21" s="36">
        <v>972243.79299789</v>
      </c>
      <c r="Z21" s="36">
        <v>932069.794855518</v>
      </c>
      <c r="AA21" s="36">
        <v>878406.728852272</v>
      </c>
      <c r="AB21" s="36">
        <v>844251.526133146</v>
      </c>
      <c r="AC21" s="36">
        <v>778937.826868525</v>
      </c>
      <c r="AD21" s="36">
        <v>776692.677977391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45"/>
      <c r="B22" s="46"/>
      <c r="C22" s="47" t="s">
        <v>21</v>
      </c>
      <c r="D22" s="48" t="s">
        <v>10</v>
      </c>
      <c r="E22" s="49"/>
      <c r="F22" s="40">
        <f t="shared" ref="F22:G22" si="17">J22</f>
        <v>0.04538312291</v>
      </c>
      <c r="G22" s="40">
        <f t="shared" si="17"/>
        <v>0.04022599029</v>
      </c>
      <c r="H22" s="50">
        <f t="shared" si="18"/>
        <v>0.1282039941</v>
      </c>
      <c r="I22" s="49"/>
      <c r="J22" s="58">
        <v>0.0453831229143517</v>
      </c>
      <c r="K22" s="58">
        <v>0.0402259902913162</v>
      </c>
      <c r="L22" s="58">
        <v>0.0395373284958179</v>
      </c>
      <c r="M22" s="58">
        <v>0.0394927894196907</v>
      </c>
      <c r="N22" s="58">
        <v>0.0389951257048877</v>
      </c>
      <c r="O22" s="58">
        <v>0.0394925126062188</v>
      </c>
      <c r="P22" s="58">
        <v>0.0367812285923223</v>
      </c>
      <c r="Q22" s="58">
        <v>0.0351743994868713</v>
      </c>
      <c r="R22" s="58">
        <v>0.0354259532031163</v>
      </c>
      <c r="S22" s="58">
        <v>0.031655393993475</v>
      </c>
      <c r="T22" s="58">
        <v>0.0304890932014981</v>
      </c>
      <c r="U22" s="58">
        <v>0.029689935650023</v>
      </c>
      <c r="V22" s="58">
        <v>0.0342395224896766</v>
      </c>
      <c r="W22" s="58">
        <v>0.0333547497575187</v>
      </c>
      <c r="X22" s="58">
        <v>0.0335574146536633</v>
      </c>
      <c r="Y22" s="58">
        <v>0.0314482002635715</v>
      </c>
      <c r="Z22" s="58">
        <v>0.0319811263387058</v>
      </c>
      <c r="AA22" s="58">
        <v>0.0326047247827615</v>
      </c>
      <c r="AB22" s="58">
        <v>0.0317677053585542</v>
      </c>
      <c r="AC22" s="58">
        <v>0.0307252248805783</v>
      </c>
      <c r="AD22" s="58">
        <v>0.0309066161022324</v>
      </c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51"/>
      <c r="AZ22" s="51"/>
      <c r="BA22" s="51"/>
      <c r="BB22" s="51"/>
      <c r="BC22" s="51"/>
      <c r="BD22" s="51"/>
      <c r="BE22" s="51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19">J24</f>
        <v>3981106.474</v>
      </c>
      <c r="G24" s="31">
        <f t="shared" si="19"/>
        <v>4717431.913</v>
      </c>
      <c r="H24" s="32">
        <f t="shared" ref="H24:H26" si="21">IFERROR(F24/G24-1,"-")</f>
        <v>-0.1560860768</v>
      </c>
      <c r="I24" s="30"/>
      <c r="J24" s="31">
        <v>3981106.473758385</v>
      </c>
      <c r="K24" s="31">
        <v>4717431.913477316</v>
      </c>
      <c r="L24" s="31">
        <v>4243779.721164908</v>
      </c>
      <c r="M24" s="31">
        <v>3949970.8397772224</v>
      </c>
      <c r="N24" s="31">
        <v>3348812.2650199845</v>
      </c>
      <c r="O24" s="31">
        <v>3113547.2676398237</v>
      </c>
      <c r="P24" s="31">
        <v>3259977.4199079573</v>
      </c>
      <c r="Q24" s="31">
        <v>2765545.544420179</v>
      </c>
      <c r="R24" s="31">
        <v>2556006.640933854</v>
      </c>
      <c r="S24" s="31">
        <v>1533672.3389230184</v>
      </c>
      <c r="T24" s="31">
        <v>1573446.968207402</v>
      </c>
      <c r="U24" s="31">
        <v>1582871.8078920054</v>
      </c>
      <c r="V24" s="31">
        <v>1669693.9040104367</v>
      </c>
      <c r="W24" s="31">
        <v>1527436.9056134643</v>
      </c>
      <c r="X24" s="31">
        <v>1407386.0923477446</v>
      </c>
      <c r="Y24" s="31">
        <v>1393689.3718616331</v>
      </c>
      <c r="Z24" s="31">
        <v>1310003.8842001776</v>
      </c>
      <c r="AA24" s="31">
        <v>1190851.6838168437</v>
      </c>
      <c r="AB24" s="31">
        <v>598360.191798668</v>
      </c>
      <c r="AC24" s="31">
        <v>558800.131121182</v>
      </c>
      <c r="AD24" s="31">
        <v>581481.2615149996</v>
      </c>
      <c r="AE24" s="31">
        <v>654112.807097552</v>
      </c>
      <c r="AF24" s="31">
        <v>490855.4913739648</v>
      </c>
      <c r="AG24" s="31">
        <v>655937.418758053</v>
      </c>
      <c r="AH24" s="31">
        <v>533017.3084047257</v>
      </c>
      <c r="AI24" s="31">
        <v>538672.7073082507</v>
      </c>
      <c r="AJ24" s="31">
        <v>487507.6081082912</v>
      </c>
      <c r="AK24" s="31">
        <v>475841.0318250407</v>
      </c>
      <c r="AL24" s="36">
        <v>447675.8338865662</v>
      </c>
      <c r="AM24" s="36">
        <v>427671.4019517891</v>
      </c>
      <c r="AN24" s="36">
        <v>386045.663182743</v>
      </c>
      <c r="AO24" s="36">
        <v>337623.9462444066</v>
      </c>
      <c r="AP24" s="36">
        <v>327939.8791170636</v>
      </c>
      <c r="AQ24" s="36">
        <v>346406.2296779617</v>
      </c>
      <c r="AR24" s="36">
        <v>349314.0372738909</v>
      </c>
      <c r="AS24" s="36">
        <v>290548.136164767</v>
      </c>
      <c r="AT24" s="36">
        <v>306530.2416490932</v>
      </c>
      <c r="AU24" s="36">
        <v>282366.9671254467</v>
      </c>
      <c r="AV24" s="36">
        <v>257480.0220201965</v>
      </c>
      <c r="AW24" s="36">
        <v>247965.6030507643</v>
      </c>
      <c r="AX24" s="36">
        <v>268785.6651000482</v>
      </c>
      <c r="AY24" s="37">
        <v>255862.0518864066</v>
      </c>
      <c r="AZ24" s="37">
        <v>239247.0078059686</v>
      </c>
      <c r="BA24" s="37">
        <v>219987.1321047305</v>
      </c>
      <c r="BB24" s="37">
        <v>200075.8575239316</v>
      </c>
      <c r="BC24" s="37">
        <v>201771.2848943323</v>
      </c>
      <c r="BD24" s="37">
        <v>184686.4649415622</v>
      </c>
      <c r="BE24" s="37">
        <v>188603.0571363999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20">J25</f>
        <v>0.1154025219</v>
      </c>
      <c r="G25" s="40">
        <f t="shared" si="20"/>
        <v>0.1121805964</v>
      </c>
      <c r="H25" s="50">
        <f t="shared" si="21"/>
        <v>0.02872088031</v>
      </c>
      <c r="I25" s="49"/>
      <c r="J25" s="40">
        <v>0.11540252187411881</v>
      </c>
      <c r="K25" s="40">
        <v>0.11218059639151888</v>
      </c>
      <c r="L25" s="40">
        <v>0.11198492038510353</v>
      </c>
      <c r="M25" s="40">
        <v>0.10960616292697033</v>
      </c>
      <c r="N25" s="40">
        <v>0.09456885815315329</v>
      </c>
      <c r="O25" s="40">
        <v>0.09497814864226793</v>
      </c>
      <c r="P25" s="40">
        <v>0.09504103116515862</v>
      </c>
      <c r="Q25" s="40">
        <v>0.08444055730478017</v>
      </c>
      <c r="R25" s="40">
        <v>0.0832264019498327</v>
      </c>
      <c r="S25" s="40">
        <v>0.04496881632396406</v>
      </c>
      <c r="T25" s="40">
        <v>0.04461764862684509</v>
      </c>
      <c r="U25" s="40">
        <v>0.04581278229819345</v>
      </c>
      <c r="V25" s="40">
        <v>0.046010631032674214</v>
      </c>
      <c r="W25" s="40">
        <v>0.045105542491890395</v>
      </c>
      <c r="X25" s="40">
        <v>0.04477879236865652</v>
      </c>
      <c r="Y25" s="40">
        <v>0.04508028005647646</v>
      </c>
      <c r="Z25" s="40">
        <v>0.044948779539943716</v>
      </c>
      <c r="AA25" s="40">
        <v>0.044202065094228374</v>
      </c>
      <c r="AB25" s="40">
        <v>0.022515245377655656</v>
      </c>
      <c r="AC25" s="40">
        <v>0.02204188716963278</v>
      </c>
      <c r="AD25" s="40">
        <v>0.023138647536997983</v>
      </c>
      <c r="AE25" s="40">
        <v>0.024020125456961857</v>
      </c>
      <c r="AF25" s="40">
        <v>0.022516432538480916</v>
      </c>
      <c r="AG25" s="40">
        <v>0.01897334038132474</v>
      </c>
      <c r="AH25" s="40">
        <v>0.01791353895728344</v>
      </c>
      <c r="AI25" s="40">
        <v>0.019384754431534368</v>
      </c>
      <c r="AJ25" s="40">
        <v>0.019266006924657002</v>
      </c>
      <c r="AK25" s="40">
        <v>0.019819354776965493</v>
      </c>
      <c r="AL25" s="40">
        <v>0.020671068243933485</v>
      </c>
      <c r="AM25" s="40">
        <v>0.021201838350863932</v>
      </c>
      <c r="AN25" s="40">
        <v>0.021092377911940942</v>
      </c>
      <c r="AO25" s="40">
        <v>0.020722142237610756</v>
      </c>
      <c r="AP25" s="40">
        <v>0.020963646284964277</v>
      </c>
      <c r="AQ25" s="40">
        <v>0.021654567885541393</v>
      </c>
      <c r="AR25" s="40">
        <v>0.020770470531159716</v>
      </c>
      <c r="AS25" s="40">
        <v>0.018980139757528908</v>
      </c>
      <c r="AT25" s="40">
        <v>0.017823542731012446</v>
      </c>
      <c r="AU25" s="40">
        <v>0.018189456198239008</v>
      </c>
      <c r="AV25" s="40">
        <v>0.016754995585994917</v>
      </c>
      <c r="AW25" s="40">
        <v>0.01565450966448926</v>
      </c>
      <c r="AX25" s="40">
        <v>0.015783993430641786</v>
      </c>
      <c r="AY25" s="51">
        <v>0.015527669883521736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2">J26</f>
        <v>10560906.58</v>
      </c>
      <c r="G26" s="31">
        <f t="shared" si="22"/>
        <v>11703294.61</v>
      </c>
      <c r="H26" s="32">
        <f t="shared" si="21"/>
        <v>-0.09761251613</v>
      </c>
      <c r="I26" s="30"/>
      <c r="J26" s="31">
        <v>1.0560906576337857E7</v>
      </c>
      <c r="K26" s="31">
        <v>1.17032946102465E7</v>
      </c>
      <c r="L26" s="31">
        <v>1.0524562398863403E7</v>
      </c>
      <c r="M26" s="31">
        <v>1.0111999669520628E7</v>
      </c>
      <c r="N26" s="31">
        <v>9905742.029658884</v>
      </c>
      <c r="O26" s="31">
        <v>9246629.878656395</v>
      </c>
      <c r="P26" s="31">
        <v>9902138.807935113</v>
      </c>
      <c r="Q26" s="31">
        <v>7845657.111087783</v>
      </c>
      <c r="R26" s="31">
        <v>6358461.6748219095</v>
      </c>
      <c r="S26" s="31">
        <v>6667970.820369061</v>
      </c>
      <c r="T26" s="31">
        <v>7047667.95872739</v>
      </c>
      <c r="U26" s="31">
        <v>7060435.468756652</v>
      </c>
      <c r="V26" s="31">
        <v>8022241.821270568</v>
      </c>
      <c r="W26" s="31">
        <v>7106763.425996339</v>
      </c>
      <c r="X26" s="31">
        <v>6485128.596633916</v>
      </c>
      <c r="Y26" s="31">
        <v>6774398.127110615</v>
      </c>
      <c r="Z26" s="31">
        <v>5906334.961027875</v>
      </c>
      <c r="AA26" s="31">
        <v>5316985.216606084</v>
      </c>
      <c r="AB26" s="31">
        <v>5154526.411260265</v>
      </c>
      <c r="AC26" s="31">
        <v>4684342.770207722</v>
      </c>
      <c r="AD26" s="31">
        <v>4734852.753420205</v>
      </c>
      <c r="AE26" s="31">
        <v>5423840.562714617</v>
      </c>
      <c r="AF26" s="31">
        <v>3577240.042790056</v>
      </c>
      <c r="AG26" s="31">
        <v>5916854.906193895</v>
      </c>
      <c r="AH26" s="31">
        <v>5247827.328561001</v>
      </c>
      <c r="AI26" s="31">
        <v>5250927.645099687</v>
      </c>
      <c r="AJ26" s="31">
        <v>5173197.197474984</v>
      </c>
      <c r="AK26" s="31">
        <v>4557653.722172517</v>
      </c>
      <c r="AL26" s="36">
        <v>3986190.423107036</v>
      </c>
      <c r="AM26" s="36">
        <v>3449196.7869587825</v>
      </c>
      <c r="AN26" s="36">
        <v>2330510.6574066207</v>
      </c>
      <c r="AO26" s="36">
        <v>1877122.422876013</v>
      </c>
      <c r="AP26" s="36">
        <v>1648666.6556935485</v>
      </c>
      <c r="AQ26" s="36">
        <v>1745210.8601981888</v>
      </c>
      <c r="AR26" s="36">
        <v>1374428.9553733866</v>
      </c>
      <c r="AS26" s="36">
        <v>1167577.8346343348</v>
      </c>
      <c r="AT26" s="36">
        <v>1397684.0484788208</v>
      </c>
      <c r="AU26" s="36">
        <v>1308220.793148705</v>
      </c>
      <c r="AV26" s="36">
        <v>1299714.6149835612</v>
      </c>
      <c r="AW26" s="36">
        <v>1617528.3365186104</v>
      </c>
      <c r="AX26" s="36">
        <v>1814143.1786789778</v>
      </c>
      <c r="AY26" s="37">
        <v>1781437.6458480465</v>
      </c>
      <c r="AZ26" s="37">
        <v>1641542.702110744</v>
      </c>
      <c r="BA26" s="37">
        <v>1433616.8621884037</v>
      </c>
      <c r="BB26" s="37">
        <v>1411710.612834387</v>
      </c>
      <c r="BC26" s="37">
        <v>1476050.7213731362</v>
      </c>
      <c r="BD26" s="37">
        <v>1142293.6323708517</v>
      </c>
      <c r="BE26" s="37">
        <v>1467386.9936426077</v>
      </c>
    </row>
    <row r="27">
      <c r="D27" s="3"/>
      <c r="F27" s="4"/>
      <c r="G27" s="4"/>
      <c r="H27" s="5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>
        <f t="shared" ref="F29:G29" si="23">J29</f>
        <v>1</v>
      </c>
      <c r="G29" s="55">
        <f t="shared" si="23"/>
        <v>1</v>
      </c>
      <c r="H29" s="56">
        <f t="shared" ref="H29:H37" si="25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4">J30</f>
        <v>0.3957971235</v>
      </c>
      <c r="G30" s="55">
        <f t="shared" si="24"/>
        <v>0.3809762178</v>
      </c>
      <c r="H30" s="32">
        <f t="shared" si="25"/>
        <v>0.0389024433</v>
      </c>
      <c r="I30" s="30"/>
      <c r="J30" s="40">
        <v>0.39579712346606255</v>
      </c>
      <c r="K30" s="40">
        <v>0.380976217755214</v>
      </c>
      <c r="L30" s="40">
        <v>0.3812697238584337</v>
      </c>
      <c r="M30" s="40">
        <v>0.38107104906652645</v>
      </c>
      <c r="N30" s="40">
        <v>0.3864473150814031</v>
      </c>
      <c r="O30" s="40">
        <v>0.3898014720927057</v>
      </c>
      <c r="P30" s="40">
        <v>0.3719409945329396</v>
      </c>
      <c r="Q30" s="40">
        <v>0.3744034593827419</v>
      </c>
      <c r="R30" s="40">
        <v>0.38608382889626325</v>
      </c>
      <c r="S30" s="40">
        <v>0.3925052131726679</v>
      </c>
      <c r="T30" s="40">
        <v>0.40691981948183364</v>
      </c>
      <c r="U30" s="40">
        <v>0.3848932705709359</v>
      </c>
      <c r="V30" s="40">
        <v>0.3762274944241795</v>
      </c>
      <c r="W30" s="40">
        <v>0.3769251394969173</v>
      </c>
      <c r="X30" s="31">
        <v>0.37448699400176444</v>
      </c>
      <c r="Y30" s="31">
        <v>0.3812125621178318</v>
      </c>
      <c r="Z30" s="31">
        <v>0.37858282090586104</v>
      </c>
      <c r="AA30" s="31">
        <v>0.3768024107045305</v>
      </c>
      <c r="AB30" s="31">
        <v>0.36011429732200295</v>
      </c>
      <c r="AC30" s="31">
        <v>0.3572672614232217</v>
      </c>
      <c r="AD30" s="31">
        <v>0.3635870709864679</v>
      </c>
      <c r="AE30" s="31">
        <v>0.3561143540600144</v>
      </c>
      <c r="AF30" s="31">
        <v>0.3699595940346826</v>
      </c>
      <c r="AG30" s="31">
        <v>0.3351882039523929</v>
      </c>
      <c r="AH30" s="31">
        <v>0.3236647962998349</v>
      </c>
      <c r="AI30" s="31">
        <v>0.31430484300852213</v>
      </c>
      <c r="AJ30" s="31">
        <v>0.3294980970972899</v>
      </c>
      <c r="AK30" s="31">
        <v>0.34825179043908705</v>
      </c>
      <c r="AL30" s="31">
        <v>0.35074398149325753</v>
      </c>
      <c r="AM30" s="31">
        <v>0.34467762328730134</v>
      </c>
      <c r="AN30" s="31">
        <v>0.35649374706197423</v>
      </c>
      <c r="AO30" s="31">
        <v>0.35082091023249495</v>
      </c>
      <c r="AP30" s="31">
        <v>0.3496858670828456</v>
      </c>
      <c r="AQ30" s="31">
        <v>0.3486161315643865</v>
      </c>
      <c r="AR30" s="31">
        <v>0.35050946403260796</v>
      </c>
      <c r="AS30" s="31">
        <v>0.3323793860269395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6">J31</f>
        <v>0.08700081697</v>
      </c>
      <c r="G31" s="55">
        <f t="shared" si="26"/>
        <v>0.08744375935</v>
      </c>
      <c r="H31" s="32">
        <f t="shared" si="25"/>
        <v>-0.005065454526</v>
      </c>
      <c r="I31" s="30"/>
      <c r="J31" s="40">
        <v>0.08700081696805793</v>
      </c>
      <c r="K31" s="40">
        <v>0.08744375935464142</v>
      </c>
      <c r="L31" s="40">
        <v>0.08994374406780825</v>
      </c>
      <c r="M31" s="40">
        <v>0.08869637904776326</v>
      </c>
      <c r="N31" s="40">
        <v>0.08623622314199521</v>
      </c>
      <c r="O31" s="40">
        <v>0.0864404526281627</v>
      </c>
      <c r="P31" s="40">
        <v>0.08540608522638396</v>
      </c>
      <c r="Q31" s="40">
        <v>0.07987613949664724</v>
      </c>
      <c r="R31" s="40">
        <v>0.0739248968517639</v>
      </c>
      <c r="S31" s="40">
        <v>0.07218098532139085</v>
      </c>
      <c r="T31" s="40">
        <v>0.06006278650306257</v>
      </c>
      <c r="U31" s="40">
        <v>0.059529084361572275</v>
      </c>
      <c r="V31" s="40">
        <v>0.06432347386879793</v>
      </c>
      <c r="W31" s="40">
        <v>0.059376135277681354</v>
      </c>
      <c r="X31" s="31">
        <v>0.06114712599544455</v>
      </c>
      <c r="Y31" s="31">
        <v>0.05965973559050589</v>
      </c>
      <c r="Z31" s="31">
        <v>0.0570512284640123</v>
      </c>
      <c r="AA31" s="31">
        <v>0.05960265354928821</v>
      </c>
      <c r="AB31" s="31">
        <v>0.06087652074020545</v>
      </c>
      <c r="AC31" s="31">
        <v>0.06314645468748273</v>
      </c>
      <c r="AD31" s="31">
        <v>0.06421494236394416</v>
      </c>
      <c r="AE31" s="31">
        <v>0.058430546325354805</v>
      </c>
      <c r="AF31" s="31">
        <v>0.06029399646639829</v>
      </c>
      <c r="AG31" s="31">
        <v>0.06076215174160447</v>
      </c>
      <c r="AH31" s="31">
        <v>0.06646611032306883</v>
      </c>
      <c r="AI31" s="31">
        <v>0.07568274196148746</v>
      </c>
      <c r="AJ31" s="31">
        <v>0.06666192273836848</v>
      </c>
      <c r="AK31" s="31">
        <v>0.06350195293245663</v>
      </c>
      <c r="AL31" s="31">
        <v>0.061523402228814736</v>
      </c>
      <c r="AM31" s="31">
        <v>0.06675907536786135</v>
      </c>
      <c r="AN31" s="31">
        <v>0.058476114188117115</v>
      </c>
      <c r="AO31" s="31">
        <v>0.05803398070734702</v>
      </c>
      <c r="AP31" s="31">
        <v>0.05808675878335902</v>
      </c>
      <c r="AQ31" s="31">
        <v>0.05779751901134749</v>
      </c>
      <c r="AR31" s="31">
        <v>0.05348220402995234</v>
      </c>
      <c r="AS31" s="31">
        <v>0.06349879386343218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27">J32</f>
        <v>0.1140242385</v>
      </c>
      <c r="G32" s="55">
        <f t="shared" si="27"/>
        <v>0.1111849139</v>
      </c>
      <c r="H32" s="32">
        <f t="shared" si="25"/>
        <v>0.02553695914</v>
      </c>
      <c r="I32" s="30"/>
      <c r="J32" s="40">
        <v>0.1140242384809918</v>
      </c>
      <c r="K32" s="40">
        <v>0.11118491387796776</v>
      </c>
      <c r="L32" s="40">
        <v>0.11638430094755477</v>
      </c>
      <c r="M32" s="40">
        <v>0.11842247653639544</v>
      </c>
      <c r="N32" s="40">
        <v>0.12329346211360152</v>
      </c>
      <c r="O32" s="40">
        <v>0.12346353342935411</v>
      </c>
      <c r="P32" s="40">
        <v>0.1230060140007354</v>
      </c>
      <c r="Q32" s="40">
        <v>0.12367202937478414</v>
      </c>
      <c r="R32" s="40">
        <v>0.12061555634124028</v>
      </c>
      <c r="S32" s="40">
        <v>0.11776713034793525</v>
      </c>
      <c r="T32" s="40">
        <v>0.12215029484320189</v>
      </c>
      <c r="U32" s="40">
        <v>0.12777982197129964</v>
      </c>
      <c r="V32" s="40">
        <v>0.1272471908897242</v>
      </c>
      <c r="W32" s="40">
        <v>0.12210798162313825</v>
      </c>
      <c r="X32" s="31">
        <v>0.1266133173916415</v>
      </c>
      <c r="Y32" s="31">
        <v>0.12720826564680798</v>
      </c>
      <c r="Z32" s="31">
        <v>0.1303327271743935</v>
      </c>
      <c r="AA32" s="31">
        <v>0.1305078106339945</v>
      </c>
      <c r="AB32" s="31">
        <v>0.14056617708006205</v>
      </c>
      <c r="AC32" s="31">
        <v>0.15032852122650803</v>
      </c>
      <c r="AD32" s="31">
        <v>0.15334428216109863</v>
      </c>
      <c r="AE32" s="31">
        <v>0.1512330899185556</v>
      </c>
      <c r="AF32" s="31">
        <v>0.16472036592530453</v>
      </c>
      <c r="AG32" s="31">
        <v>0.17906835895622444</v>
      </c>
      <c r="AH32" s="31">
        <v>0.1679451692151974</v>
      </c>
      <c r="AI32" s="31">
        <v>0.15334014288629483</v>
      </c>
      <c r="AJ32" s="31">
        <v>0.1484207194443208</v>
      </c>
      <c r="AK32" s="31">
        <v>0.14707249708470754</v>
      </c>
      <c r="AL32" s="31">
        <v>0.14822040700386352</v>
      </c>
      <c r="AM32" s="31">
        <v>0.15567874465118037</v>
      </c>
      <c r="AN32" s="31">
        <v>0.15650751597374818</v>
      </c>
      <c r="AO32" s="31">
        <v>0.15772928707618783</v>
      </c>
      <c r="AP32" s="31">
        <v>0.1595507508089521</v>
      </c>
      <c r="AQ32" s="31">
        <v>0.16248099134528002</v>
      </c>
      <c r="AR32" s="31">
        <v>0.16397025615793048</v>
      </c>
      <c r="AS32" s="31">
        <v>0.1710286887416898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28">J33</f>
        <v>0.04942188807</v>
      </c>
      <c r="G33" s="55">
        <f t="shared" si="28"/>
        <v>0.04470273164</v>
      </c>
      <c r="H33" s="32">
        <f t="shared" si="25"/>
        <v>0.105567518</v>
      </c>
      <c r="I33" s="30"/>
      <c r="J33" s="40">
        <v>0.049421888066886716</v>
      </c>
      <c r="K33" s="40">
        <v>0.044702731640699836</v>
      </c>
      <c r="L33" s="40">
        <v>0.04571958657548512</v>
      </c>
      <c r="M33" s="40">
        <v>0.05039908068327977</v>
      </c>
      <c r="N33" s="40">
        <v>0.0468835337062068</v>
      </c>
      <c r="O33" s="40">
        <v>0.04971972516193818</v>
      </c>
      <c r="P33" s="40">
        <v>0.055487798409294825</v>
      </c>
      <c r="Q33" s="40">
        <v>0.05050846550342825</v>
      </c>
      <c r="R33" s="40">
        <v>0.043084519297603194</v>
      </c>
      <c r="S33" s="40">
        <v>0.04111959415968578</v>
      </c>
      <c r="T33" s="40">
        <v>0.04710241473280276</v>
      </c>
      <c r="U33" s="40">
        <v>0.04404476655559433</v>
      </c>
      <c r="V33" s="40">
        <v>0.045289659889047575</v>
      </c>
      <c r="W33" s="40">
        <v>0.04490457376134512</v>
      </c>
      <c r="X33" s="31">
        <v>0.0423800992153215</v>
      </c>
      <c r="Y33" s="31">
        <v>0.041853125952274285</v>
      </c>
      <c r="Z33" s="31">
        <v>0.0409762924661855</v>
      </c>
      <c r="AA33" s="31">
        <v>0.04682456453730644</v>
      </c>
      <c r="AB33" s="31">
        <v>0.045980977686665356</v>
      </c>
      <c r="AC33" s="31">
        <v>0.0462246414398775</v>
      </c>
      <c r="AD33" s="31">
        <v>0.04111614241205401</v>
      </c>
      <c r="AE33" s="31">
        <v>0.04048363203743284</v>
      </c>
      <c r="AF33" s="31">
        <v>0.04658179677602817</v>
      </c>
      <c r="AG33" s="31">
        <v>0.03864317768304479</v>
      </c>
      <c r="AH33" s="31">
        <v>0.03498794939092955</v>
      </c>
      <c r="AI33" s="31">
        <v>0.04370124523109643</v>
      </c>
      <c r="AJ33" s="31">
        <v>0.04152152568041551</v>
      </c>
      <c r="AK33" s="31">
        <v>0.040446146973379164</v>
      </c>
      <c r="AL33" s="31">
        <v>0.04213317933376343</v>
      </c>
      <c r="AM33" s="31">
        <v>0.04851853480408709</v>
      </c>
      <c r="AN33" s="31">
        <v>0.0442894900195721</v>
      </c>
      <c r="AO33" s="31">
        <v>0.04627315918669873</v>
      </c>
      <c r="AP33" s="31">
        <v>0.04211648139705941</v>
      </c>
      <c r="AQ33" s="31">
        <v>0.03624294113016877</v>
      </c>
      <c r="AR33" s="31">
        <v>0.03630616958883263</v>
      </c>
      <c r="AS33" s="31">
        <v>0.036792022468354384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29">J34</f>
        <v>0.117096604</v>
      </c>
      <c r="G34" s="55">
        <f t="shared" si="29"/>
        <v>0.1173453723</v>
      </c>
      <c r="H34" s="32">
        <f t="shared" si="25"/>
        <v>-0.002119966719</v>
      </c>
      <c r="I34" s="30"/>
      <c r="J34" s="40">
        <v>0.11709660403016066</v>
      </c>
      <c r="K34" s="40">
        <v>0.11734537231406811</v>
      </c>
      <c r="L34" s="40">
        <v>0.11765824052540619</v>
      </c>
      <c r="M34" s="40">
        <v>0.12058457123084251</v>
      </c>
      <c r="N34" s="40">
        <v>0.12750610925752312</v>
      </c>
      <c r="O34" s="40">
        <v>0.13213005779670195</v>
      </c>
      <c r="P34" s="40">
        <v>0.13593900497635084</v>
      </c>
      <c r="Q34" s="40">
        <v>0.14138727560015207</v>
      </c>
      <c r="R34" s="40">
        <v>0.143120973077329</v>
      </c>
      <c r="S34" s="40">
        <v>0.1407812976022215</v>
      </c>
      <c r="T34" s="40">
        <v>0.1419555489959335</v>
      </c>
      <c r="U34" s="40">
        <v>0.14673948209525262</v>
      </c>
      <c r="V34" s="40">
        <v>0.14319583114208762</v>
      </c>
      <c r="W34" s="40">
        <v>0.14480006456803024</v>
      </c>
      <c r="X34" s="31">
        <v>0.14018286718394293</v>
      </c>
      <c r="Y34" s="31">
        <v>0.13804756002082194</v>
      </c>
      <c r="Z34" s="31">
        <v>0.14022522499955156</v>
      </c>
      <c r="AA34" s="31">
        <v>0.1426605135394852</v>
      </c>
      <c r="AB34" s="31">
        <v>0.14562027988274207</v>
      </c>
      <c r="AC34" s="31">
        <v>0.146814536989002</v>
      </c>
      <c r="AD34" s="31">
        <v>0.14146855745917652</v>
      </c>
      <c r="AE34" s="31">
        <v>0.14359264075565734</v>
      </c>
      <c r="AF34" s="31">
        <v>0.14747938255171059</v>
      </c>
      <c r="AG34" s="31">
        <v>0.15765042748485644</v>
      </c>
      <c r="AH34" s="31">
        <v>0.15403927148863575</v>
      </c>
      <c r="AI34" s="31">
        <v>0.1548244515818533</v>
      </c>
      <c r="AJ34" s="31">
        <v>0.1538081259453544</v>
      </c>
      <c r="AK34" s="31">
        <v>0.1562326176700884</v>
      </c>
      <c r="AL34" s="31">
        <v>0.15925532421423425</v>
      </c>
      <c r="AM34" s="31">
        <v>0.1639823014835263</v>
      </c>
      <c r="AN34" s="31">
        <v>0.17180789640412064</v>
      </c>
      <c r="AO34" s="31">
        <v>0.17513207867917902</v>
      </c>
      <c r="AP34" s="31">
        <v>0.1764813428394595</v>
      </c>
      <c r="AQ34" s="31">
        <v>0.1799578544189622</v>
      </c>
      <c r="AR34" s="31">
        <v>0.18173486710355477</v>
      </c>
      <c r="AS34" s="31">
        <v>0.1812285775956353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30">J35</f>
        <v>0.02842333997</v>
      </c>
      <c r="G35" s="55">
        <f t="shared" si="30"/>
        <v>0.04377147482</v>
      </c>
      <c r="H35" s="32">
        <f t="shared" si="25"/>
        <v>-0.3506423969</v>
      </c>
      <c r="I35" s="30"/>
      <c r="J35" s="40">
        <v>0.02842333997401619</v>
      </c>
      <c r="K35" s="40">
        <v>0.04377147481866883</v>
      </c>
      <c r="L35" s="40">
        <v>0.03967948853429496</v>
      </c>
      <c r="M35" s="40">
        <v>0.03761530248991693</v>
      </c>
      <c r="N35" s="40">
        <v>0.03403366251259479</v>
      </c>
      <c r="O35" s="40">
        <v>0.02579516869528988</v>
      </c>
      <c r="P35" s="40">
        <v>0.026812089482780046</v>
      </c>
      <c r="Q35" s="40">
        <v>0.03210423878751712</v>
      </c>
      <c r="R35" s="40">
        <v>0.03398755296157398</v>
      </c>
      <c r="S35" s="40">
        <v>0.03870476799048553</v>
      </c>
      <c r="T35" s="40">
        <v>0.023697531179357124</v>
      </c>
      <c r="U35" s="40">
        <v>0.033516269424021146</v>
      </c>
      <c r="V35" s="40">
        <v>0.0383452249491906</v>
      </c>
      <c r="W35" s="40">
        <v>0.03733087318297424</v>
      </c>
      <c r="X35" s="31">
        <v>0.037839546701603256</v>
      </c>
      <c r="Y35" s="31">
        <v>0.03503782265441115</v>
      </c>
      <c r="Z35" s="31">
        <v>0.03263317874915312</v>
      </c>
      <c r="AA35" s="31">
        <v>0.029288206593786035</v>
      </c>
      <c r="AB35" s="31">
        <v>0.029815238164172815</v>
      </c>
      <c r="AC35" s="31">
        <v>0.029073608598950085</v>
      </c>
      <c r="AD35" s="31">
        <v>0.032442397435323976</v>
      </c>
      <c r="AE35" s="31">
        <v>0.03537608267903005</v>
      </c>
      <c r="AF35" s="31">
        <v>0.03754709367620537</v>
      </c>
      <c r="AG35" s="31">
        <v>0.04823589242316507</v>
      </c>
      <c r="AH35" s="31">
        <v>0.07539312453198108</v>
      </c>
      <c r="AI35" s="31">
        <v>0.08456017914809111</v>
      </c>
      <c r="AJ35" s="31">
        <v>0.0859984975381041</v>
      </c>
      <c r="AK35" s="31">
        <v>0.05344660050401452</v>
      </c>
      <c r="AL35" s="31">
        <v>0.04431220098238317</v>
      </c>
      <c r="AM35" s="31">
        <v>0.02833152540078417</v>
      </c>
      <c r="AN35" s="31">
        <v>0.014330145558678568</v>
      </c>
      <c r="AO35" s="31">
        <v>0.013576864429780766</v>
      </c>
      <c r="AP35" s="31">
        <v>0.012835911672050244</v>
      </c>
      <c r="AQ35" s="31">
        <v>0.011040762560111484</v>
      </c>
      <c r="AR35" s="31">
        <v>0.008772533535812182</v>
      </c>
      <c r="AS35" s="31">
        <v>0.00786448320041381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1">J36</f>
        <v>0.06322715632</v>
      </c>
      <c r="G36" s="55">
        <f t="shared" si="31"/>
        <v>0.06288005512</v>
      </c>
      <c r="H36" s="32">
        <f t="shared" si="25"/>
        <v>0.005520052389</v>
      </c>
      <c r="I36" s="30"/>
      <c r="J36" s="40">
        <v>0.06322715631754651</v>
      </c>
      <c r="K36" s="40">
        <v>0.06288005511909067</v>
      </c>
      <c r="L36" s="40">
        <v>0.05289599452573605</v>
      </c>
      <c r="M36" s="40">
        <v>0.046567527814576584</v>
      </c>
      <c r="N36" s="40">
        <v>0.07340123753152782</v>
      </c>
      <c r="O36" s="40">
        <v>0.06885289808645223</v>
      </c>
      <c r="P36" s="40">
        <v>0.060875133058763964</v>
      </c>
      <c r="Q36" s="40">
        <v>0.05443881628350019</v>
      </c>
      <c r="R36" s="40">
        <v>0.05131479149900438</v>
      </c>
      <c r="S36" s="40">
        <v>0.048046498089658204</v>
      </c>
      <c r="T36" s="40">
        <v>0.045304525517733375</v>
      </c>
      <c r="U36" s="40">
        <v>0.049798922929506724</v>
      </c>
      <c r="V36" s="40">
        <v>0.04896408809757644</v>
      </c>
      <c r="W36" s="40">
        <v>0.04468257431341904</v>
      </c>
      <c r="X36" s="31">
        <v>0.04403194820293005</v>
      </c>
      <c r="Y36" s="31">
        <v>0.041181809865286495</v>
      </c>
      <c r="Z36" s="31">
        <v>0.03380381540036524</v>
      </c>
      <c r="AA36" s="31">
        <v>0.02795431221809961</v>
      </c>
      <c r="AB36" s="31">
        <v>0.03639354497515098</v>
      </c>
      <c r="AC36" s="31">
        <v>0.028521395190419956</v>
      </c>
      <c r="AD36" s="31">
        <v>0.030239144087159872</v>
      </c>
      <c r="AE36" s="31">
        <v>0.048859457838681716</v>
      </c>
      <c r="AF36" s="31">
        <v>0.0028233174810847208</v>
      </c>
      <c r="AG36" s="31">
        <v>0.002419021864325178</v>
      </c>
      <c r="AH36" s="31">
        <v>0.0013147732092479022</v>
      </c>
      <c r="AI36" s="31">
        <v>4.964222363304944E-4</v>
      </c>
      <c r="AJ36" s="31">
        <v>5.2352431259887654E-5</v>
      </c>
      <c r="AK36" s="31">
        <v>6.439494352536121E-6</v>
      </c>
      <c r="AL36" s="31">
        <v>2.9984927425613168E-6</v>
      </c>
      <c r="AM36" s="31">
        <v>7.786663066997827E-7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2">J37</f>
        <v>0.1450088327</v>
      </c>
      <c r="G37" s="55">
        <f t="shared" si="32"/>
        <v>0.1516954751</v>
      </c>
      <c r="H37" s="56">
        <f t="shared" si="25"/>
        <v>-0.04407937955</v>
      </c>
      <c r="I37" s="30"/>
      <c r="J37" s="40">
        <v>0.1450088326962776</v>
      </c>
      <c r="K37" s="40">
        <v>0.15169547511964945</v>
      </c>
      <c r="L37" s="40">
        <v>0.15644892096528087</v>
      </c>
      <c r="M37" s="40">
        <v>0.15664361313069897</v>
      </c>
      <c r="N37" s="40">
        <v>0.12219845665514754</v>
      </c>
      <c r="O37" s="40">
        <v>0.1237966921093953</v>
      </c>
      <c r="P37" s="40">
        <v>0.1405328803127514</v>
      </c>
      <c r="Q37" s="40">
        <v>0.1436095755712292</v>
      </c>
      <c r="R37" s="40">
        <v>0.14786788107522209</v>
      </c>
      <c r="S37" s="40">
        <v>0.14889451331595496</v>
      </c>
      <c r="T37" s="40">
        <v>0.15280707874607521</v>
      </c>
      <c r="U37" s="40">
        <v>0.15369838209181727</v>
      </c>
      <c r="V37" s="40">
        <v>0.15640703673939615</v>
      </c>
      <c r="W37" s="40">
        <v>0.16987265777649446</v>
      </c>
      <c r="X37" s="31">
        <v>0.17331810130735176</v>
      </c>
      <c r="Y37" s="31">
        <v>0.17579911815206045</v>
      </c>
      <c r="Z37" s="31">
        <v>0.18639471184047776</v>
      </c>
      <c r="AA37" s="31">
        <v>0.18635952822350946</v>
      </c>
      <c r="AB37" s="31">
        <v>0.18063296414899835</v>
      </c>
      <c r="AC37" s="31">
        <v>0.17862358044453797</v>
      </c>
      <c r="AD37" s="31">
        <v>0.17358746309477488</v>
      </c>
      <c r="AE37" s="31">
        <v>0.16591019638527327</v>
      </c>
      <c r="AF37" s="31">
        <v>0.17059445308858578</v>
      </c>
      <c r="AG37" s="31">
        <v>0.17803276589438674</v>
      </c>
      <c r="AH37" s="31">
        <v>0.1761888055411045</v>
      </c>
      <c r="AI37" s="31">
        <v>0.17308997394632428</v>
      </c>
      <c r="AJ37" s="31">
        <v>0.1740387591248869</v>
      </c>
      <c r="AK37" s="31">
        <v>0.19104195490191422</v>
      </c>
      <c r="AL37" s="31">
        <v>0.19380850625094084</v>
      </c>
      <c r="AM37" s="31">
        <v>0.1920514163389527</v>
      </c>
      <c r="AN37" s="31">
        <v>0.19809509079378917</v>
      </c>
      <c r="AO37" s="31">
        <v>0.19843371968831172</v>
      </c>
      <c r="AP37" s="31">
        <v>0.20124288741627427</v>
      </c>
      <c r="AQ37" s="31">
        <v>0.20386379996974344</v>
      </c>
      <c r="AR37" s="31">
        <v>0.20522450555130967</v>
      </c>
      <c r="AS37" s="31">
        <v>0.20720804810353516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3">J40</f>
        <v>1</v>
      </c>
      <c r="G40" s="55">
        <f t="shared" si="33"/>
        <v>1</v>
      </c>
      <c r="H40" s="32">
        <f t="shared" ref="H40:H48" si="35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>
        <v>1.0</v>
      </c>
      <c r="AO40" s="31">
        <v>1.0</v>
      </c>
      <c r="AP40" s="31">
        <v>1.0</v>
      </c>
      <c r="AQ40" s="31">
        <v>1.0</v>
      </c>
      <c r="AR40" s="31">
        <v>1.0</v>
      </c>
      <c r="AS40" s="31">
        <v>1.0</v>
      </c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4">J41</f>
        <v>0.5275343972</v>
      </c>
      <c r="G41" s="55">
        <f t="shared" si="34"/>
        <v>0.4988840458</v>
      </c>
      <c r="H41" s="32">
        <f t="shared" si="35"/>
        <v>0.05742887871</v>
      </c>
      <c r="I41" s="30"/>
      <c r="J41" s="40">
        <v>0.5275343971576562</v>
      </c>
      <c r="K41" s="40">
        <v>0.4988840457988685</v>
      </c>
      <c r="L41" s="40">
        <v>0.5420264675898987</v>
      </c>
      <c r="M41" s="40">
        <v>0.5464318609410518</v>
      </c>
      <c r="N41" s="40">
        <v>0.582748370120629</v>
      </c>
      <c r="O41" s="40">
        <v>0.5870767103133123</v>
      </c>
      <c r="P41" s="40">
        <v>0.5949510696045112</v>
      </c>
      <c r="Q41" s="40">
        <v>0.6038082403746247</v>
      </c>
      <c r="R41" s="40">
        <v>0.5964490953009021</v>
      </c>
      <c r="S41" s="40">
        <v>0.573952117378562</v>
      </c>
      <c r="T41" s="40">
        <v>0.5910534156237621</v>
      </c>
      <c r="U41" s="40">
        <v>0.5377709325364081</v>
      </c>
      <c r="V41" s="40">
        <v>0.5479096404286279</v>
      </c>
      <c r="W41" s="40">
        <v>0.5295274767570894</v>
      </c>
      <c r="X41" s="31">
        <v>0.5542557998316593</v>
      </c>
      <c r="Y41" s="31">
        <v>0.5701398958041225</v>
      </c>
      <c r="Z41" s="31">
        <v>0.571475167212839</v>
      </c>
      <c r="AA41" s="31">
        <v>0.5828951499724117</v>
      </c>
      <c r="AB41" s="31">
        <v>0.5861869143954308</v>
      </c>
      <c r="AC41" s="31">
        <v>0.5947859140549918</v>
      </c>
      <c r="AD41" s="31">
        <v>0.5917011682504136</v>
      </c>
      <c r="AE41" s="31">
        <v>0.6073444376403665</v>
      </c>
      <c r="AF41" s="31">
        <v>0.6078712318895737</v>
      </c>
      <c r="AG41" s="31">
        <v>0.6039947824355195</v>
      </c>
      <c r="AH41" s="31">
        <v>0.6023135895598601</v>
      </c>
      <c r="AI41" s="31">
        <v>0.5963572510119487</v>
      </c>
      <c r="AJ41" s="31">
        <v>0.5950960653292446</v>
      </c>
      <c r="AK41" s="31">
        <v>0.5959935344467435</v>
      </c>
      <c r="AL41" s="31">
        <v>0.6133207049077849</v>
      </c>
      <c r="AM41" s="31">
        <v>0.6213898339414181</v>
      </c>
      <c r="AN41" s="31">
        <v>0.6289137521510507</v>
      </c>
      <c r="AO41" s="31">
        <v>0.6371464511547846</v>
      </c>
      <c r="AP41" s="31">
        <v>0.628871867501874</v>
      </c>
      <c r="AQ41" s="31">
        <v>0.633284196216659</v>
      </c>
      <c r="AR41" s="31">
        <v>0.6364190793461131</v>
      </c>
      <c r="AS41" s="31">
        <v>0.6247592377254166</v>
      </c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6">J42</f>
        <v>0.1196653952</v>
      </c>
      <c r="G42" s="55">
        <f t="shared" si="36"/>
        <v>0.1266213541</v>
      </c>
      <c r="H42" s="32">
        <f t="shared" si="35"/>
        <v>-0.05493511665</v>
      </c>
      <c r="I42" s="30"/>
      <c r="J42" s="40">
        <v>0.11966539524312003</v>
      </c>
      <c r="K42" s="40">
        <v>0.12662135410168834</v>
      </c>
      <c r="L42" s="40">
        <v>0.128604006962654</v>
      </c>
      <c r="M42" s="40">
        <v>0.12435507338960805</v>
      </c>
      <c r="N42" s="40">
        <v>0.12503100836848266</v>
      </c>
      <c r="O42" s="40">
        <v>0.12294254435656811</v>
      </c>
      <c r="P42" s="40">
        <v>0.10622730263799478</v>
      </c>
      <c r="Q42" s="40">
        <v>0.09646579203884326</v>
      </c>
      <c r="R42" s="40">
        <v>0.09744760236494711</v>
      </c>
      <c r="S42" s="40">
        <v>0.10182206043874913</v>
      </c>
      <c r="T42" s="40">
        <v>0.08612874111075607</v>
      </c>
      <c r="U42" s="40">
        <v>0.10162474173191756</v>
      </c>
      <c r="V42" s="40">
        <v>0.09733246065648103</v>
      </c>
      <c r="W42" s="40">
        <v>0.08781865767846486</v>
      </c>
      <c r="X42" s="31">
        <v>0.08520989589057766</v>
      </c>
      <c r="Y42" s="31">
        <v>0.09225706368227851</v>
      </c>
      <c r="Z42" s="31">
        <v>0.09653405028179392</v>
      </c>
      <c r="AA42" s="31">
        <v>0.0973965126756313</v>
      </c>
      <c r="AB42" s="31">
        <v>0.09702245202867195</v>
      </c>
      <c r="AC42" s="31">
        <v>0.09469497811011662</v>
      </c>
      <c r="AD42" s="31">
        <v>0.0949689222436052</v>
      </c>
      <c r="AE42" s="31">
        <v>0.09374461269415103</v>
      </c>
      <c r="AF42" s="31">
        <v>0.09962477532497264</v>
      </c>
      <c r="AG42" s="31">
        <v>0.1004429398397136</v>
      </c>
      <c r="AH42" s="31">
        <v>0.10604306712829978</v>
      </c>
      <c r="AI42" s="31">
        <v>0.11576846954366019</v>
      </c>
      <c r="AJ42" s="31">
        <v>0.11448551885555133</v>
      </c>
      <c r="AK42" s="31">
        <v>0.11194926318272697</v>
      </c>
      <c r="AL42" s="31">
        <v>0.11691927086980641</v>
      </c>
      <c r="AM42" s="31">
        <v>0.11405496840264473</v>
      </c>
      <c r="AN42" s="31">
        <v>0.11595856625106056</v>
      </c>
      <c r="AO42" s="31">
        <v>0.11082644274656432</v>
      </c>
      <c r="AP42" s="31">
        <v>0.11624667704905059</v>
      </c>
      <c r="AQ42" s="31">
        <v>0.12415360610363868</v>
      </c>
      <c r="AR42" s="31">
        <v>0.12101051233043307</v>
      </c>
      <c r="AS42" s="31">
        <v>0.13422353686857202</v>
      </c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37">J43</f>
        <v>0.1567258675</v>
      </c>
      <c r="G43" s="55">
        <f t="shared" si="37"/>
        <v>0.1578971758</v>
      </c>
      <c r="H43" s="32">
        <f t="shared" si="35"/>
        <v>-0.007418171144</v>
      </c>
      <c r="I43" s="30"/>
      <c r="J43" s="40">
        <v>0.15672586754318477</v>
      </c>
      <c r="K43" s="40">
        <v>0.15789717581659657</v>
      </c>
      <c r="L43" s="40">
        <v>0.16391072977499777</v>
      </c>
      <c r="M43" s="40">
        <v>0.1583155600080794</v>
      </c>
      <c r="N43" s="40">
        <v>0.161914446632982</v>
      </c>
      <c r="O43" s="40">
        <v>0.1604575987119038</v>
      </c>
      <c r="P43" s="40">
        <v>0.16567937106246822</v>
      </c>
      <c r="Q43" s="40">
        <v>0.16868436837985945</v>
      </c>
      <c r="R43" s="40">
        <v>0.15681566357295693</v>
      </c>
      <c r="S43" s="40">
        <v>0.16266277868736603</v>
      </c>
      <c r="T43" s="40">
        <v>0.16330481363733396</v>
      </c>
      <c r="U43" s="40">
        <v>0.20406506325311843</v>
      </c>
      <c r="V43" s="40">
        <v>0.20362935057534504</v>
      </c>
      <c r="W43" s="40">
        <v>0.21744294291715413</v>
      </c>
      <c r="X43" s="31">
        <v>0.19882468791825</v>
      </c>
      <c r="Y43" s="31">
        <v>0.1828983586233185</v>
      </c>
      <c r="Z43" s="31">
        <v>0.1786888419441321</v>
      </c>
      <c r="AA43" s="31">
        <v>0.17231742848703652</v>
      </c>
      <c r="AB43" s="31">
        <v>0.17310056557453815</v>
      </c>
      <c r="AC43" s="31">
        <v>0.17266644508460793</v>
      </c>
      <c r="AD43" s="31">
        <v>0.17833974769082123</v>
      </c>
      <c r="AE43" s="31">
        <v>0.16896037501706723</v>
      </c>
      <c r="AF43" s="31">
        <v>0.16697839066840375</v>
      </c>
      <c r="AG43" s="31">
        <v>0.18422423938780358</v>
      </c>
      <c r="AH43" s="31">
        <v>0.1800316492138948</v>
      </c>
      <c r="AI43" s="31">
        <v>0.18225175406824334</v>
      </c>
      <c r="AJ43" s="31">
        <v>0.17876638554803298</v>
      </c>
      <c r="AK43" s="31">
        <v>0.1830049717573074</v>
      </c>
      <c r="AL43" s="31">
        <v>0.17571156296565635</v>
      </c>
      <c r="AM43" s="31">
        <v>0.18919341152803104</v>
      </c>
      <c r="AN43" s="31">
        <v>0.18432753920335848</v>
      </c>
      <c r="AO43" s="31">
        <v>0.18551827861871442</v>
      </c>
      <c r="AP43" s="31">
        <v>0.19017803375636422</v>
      </c>
      <c r="AQ43" s="31">
        <v>0.18593561604265332</v>
      </c>
      <c r="AR43" s="31">
        <v>0.18667310493570197</v>
      </c>
      <c r="AS43" s="31">
        <v>0.19252813290555865</v>
      </c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38">J44</f>
        <v>0.09952548579</v>
      </c>
      <c r="G44" s="55">
        <f t="shared" si="38"/>
        <v>0.1168646422</v>
      </c>
      <c r="H44" s="32">
        <f t="shared" si="35"/>
        <v>-0.1483695676</v>
      </c>
      <c r="I44" s="30"/>
      <c r="J44" s="40">
        <v>0.09952548578897706</v>
      </c>
      <c r="K44" s="40">
        <v>0.11686464222026749</v>
      </c>
      <c r="L44" s="40">
        <v>0.06428445807620503</v>
      </c>
      <c r="M44" s="40">
        <v>0.07022494818797506</v>
      </c>
      <c r="N44" s="40">
        <v>0.03266780646722325</v>
      </c>
      <c r="O44" s="40">
        <v>0.03207682880143353</v>
      </c>
      <c r="P44" s="40">
        <v>0.038426498563875096</v>
      </c>
      <c r="Q44" s="40">
        <v>0.047060238772191794</v>
      </c>
      <c r="R44" s="40">
        <v>0.06198527545459757</v>
      </c>
      <c r="S44" s="40">
        <v>0.07119949424878286</v>
      </c>
      <c r="T44" s="40">
        <v>0.07499207744533042</v>
      </c>
      <c r="U44" s="40">
        <v>0.07387681547130505</v>
      </c>
      <c r="V44" s="40">
        <v>0.06643688072203584</v>
      </c>
      <c r="W44" s="40">
        <v>0.07727075000378805</v>
      </c>
      <c r="X44" s="31">
        <v>0.0799740505588566</v>
      </c>
      <c r="Y44" s="31">
        <v>0.08097801525926313</v>
      </c>
      <c r="Z44" s="31">
        <v>0.08252254288359424</v>
      </c>
      <c r="AA44" s="31">
        <v>0.08351682035503473</v>
      </c>
      <c r="AB44" s="31">
        <v>0.08206485773154065</v>
      </c>
      <c r="AC44" s="31">
        <v>0.08172085798239884</v>
      </c>
      <c r="AD44" s="31">
        <v>0.0800217164729332</v>
      </c>
      <c r="AE44" s="31">
        <v>0.07893811331580003</v>
      </c>
      <c r="AF44" s="31">
        <v>0.07657621529466604</v>
      </c>
      <c r="AG44" s="31">
        <v>0.06299629355345467</v>
      </c>
      <c r="AH44" s="31">
        <v>0.06279881828366585</v>
      </c>
      <c r="AI44" s="31">
        <v>0.05543132203800769</v>
      </c>
      <c r="AJ44" s="31">
        <v>0.061657319959063185</v>
      </c>
      <c r="AK44" s="31">
        <v>0.05935306803103755</v>
      </c>
      <c r="AL44" s="31">
        <v>0.044721362916404384</v>
      </c>
      <c r="AM44" s="31">
        <v>0.02889267202820296</v>
      </c>
      <c r="AN44" s="31">
        <v>0.026053721526888084</v>
      </c>
      <c r="AO44" s="31">
        <v>0.02102668976785678</v>
      </c>
      <c r="AP44" s="31">
        <v>0.020904740322389103</v>
      </c>
      <c r="AQ44" s="31">
        <v>0.015580306994271188</v>
      </c>
      <c r="AR44" s="31">
        <v>0.015864617745862133</v>
      </c>
      <c r="AS44" s="31">
        <v>0.010413298347788258</v>
      </c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39">J45</f>
        <v>0.0568736415</v>
      </c>
      <c r="G45" s="55">
        <f t="shared" si="39"/>
        <v>0.06104036942</v>
      </c>
      <c r="H45" s="32">
        <f t="shared" si="35"/>
        <v>-0.06826183975</v>
      </c>
      <c r="I45" s="30"/>
      <c r="J45" s="40">
        <v>0.05687364150048261</v>
      </c>
      <c r="K45" s="40">
        <v>0.061040369416151326</v>
      </c>
      <c r="L45" s="40">
        <v>0.06555366925440223</v>
      </c>
      <c r="M45" s="40">
        <v>0.06678081517000072</v>
      </c>
      <c r="N45" s="40">
        <v>0.06904761494135049</v>
      </c>
      <c r="O45" s="40">
        <v>0.06848691662137833</v>
      </c>
      <c r="P45" s="40">
        <v>0.06611325369622378</v>
      </c>
      <c r="Q45" s="40">
        <v>0.06463960372660345</v>
      </c>
      <c r="R45" s="40">
        <v>0.06663127222889063</v>
      </c>
      <c r="S45" s="40">
        <v>0.06922620227599302</v>
      </c>
      <c r="T45" s="40">
        <v>0.06495983323150589</v>
      </c>
      <c r="U45" s="40">
        <v>0.060398462913657074</v>
      </c>
      <c r="V45" s="40">
        <v>0.06189484608100625</v>
      </c>
      <c r="W45" s="40">
        <v>0.06346473356981061</v>
      </c>
      <c r="X45" s="31">
        <v>0.0624311847835139</v>
      </c>
      <c r="Y45" s="31">
        <v>0.06259486834111909</v>
      </c>
      <c r="Z45" s="31">
        <v>0.06363707619515818</v>
      </c>
      <c r="AA45" s="31">
        <v>0.058707478792473414</v>
      </c>
      <c r="AB45" s="31">
        <v>0.0568303634745229</v>
      </c>
      <c r="AC45" s="31">
        <v>0.05144230198452361</v>
      </c>
      <c r="AD45" s="31">
        <v>0.05085464898036615</v>
      </c>
      <c r="AE45" s="31">
        <v>0.04794693872227502</v>
      </c>
      <c r="AF45" s="31">
        <v>0.04760577226779739</v>
      </c>
      <c r="AG45" s="31">
        <v>0.04734066325483658</v>
      </c>
      <c r="AH45" s="31">
        <v>0.048722881824022915</v>
      </c>
      <c r="AI45" s="31">
        <v>0.04867326637848296</v>
      </c>
      <c r="AJ45" s="31">
        <v>0.049993489837952786</v>
      </c>
      <c r="AK45" s="31">
        <v>0.049698927839385405</v>
      </c>
      <c r="AL45" s="31">
        <v>0.04932709834034792</v>
      </c>
      <c r="AM45" s="31">
        <v>0.046469114099703494</v>
      </c>
      <c r="AN45" s="31">
        <v>0.04474642086764215</v>
      </c>
      <c r="AO45" s="31">
        <v>0.04548213771208001</v>
      </c>
      <c r="AP45" s="31">
        <v>0.04379868137032185</v>
      </c>
      <c r="AQ45" s="31">
        <v>0.04104627464277768</v>
      </c>
      <c r="AR45" s="31">
        <v>0.040032685641889755</v>
      </c>
      <c r="AS45" s="31">
        <v>0.0380757941526644</v>
      </c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40">J46</f>
        <v>0.01237247472</v>
      </c>
      <c r="G46" s="55">
        <f t="shared" si="40"/>
        <v>0.01557618197</v>
      </c>
      <c r="H46" s="32">
        <f t="shared" si="35"/>
        <v>-0.2056798807</v>
      </c>
      <c r="I46" s="30"/>
      <c r="J46" s="40">
        <v>0.012372474719161603</v>
      </c>
      <c r="K46" s="40">
        <v>0.015576181968160985</v>
      </c>
      <c r="L46" s="40">
        <v>0.015113347548203412</v>
      </c>
      <c r="M46" s="40">
        <v>0.013815519162359933</v>
      </c>
      <c r="N46" s="40">
        <v>0.013904098580315941</v>
      </c>
      <c r="O46" s="40">
        <v>0.013475364715899536</v>
      </c>
      <c r="P46" s="40">
        <v>0.015368872002877459</v>
      </c>
      <c r="Q46" s="40">
        <v>0.011699916146719353</v>
      </c>
      <c r="R46" s="40">
        <v>0.014629319037918562</v>
      </c>
      <c r="S46" s="40">
        <v>0.014528233987251516</v>
      </c>
      <c r="T46" s="40">
        <v>0.009789348004899083</v>
      </c>
      <c r="U46" s="40">
        <v>0.010066352605889601</v>
      </c>
      <c r="V46" s="40">
        <v>0.009666148759228527</v>
      </c>
      <c r="W46" s="40">
        <v>0.012190548513921318</v>
      </c>
      <c r="X46" s="31">
        <v>0.010469487214995781</v>
      </c>
      <c r="Y46" s="31">
        <v>0.008036123230325376</v>
      </c>
      <c r="Z46" s="31">
        <v>0.006068191723892855</v>
      </c>
      <c r="AA46" s="31">
        <v>0.004512384861243449</v>
      </c>
      <c r="AB46" s="31">
        <v>0.004790899927321638</v>
      </c>
      <c r="AC46" s="31">
        <v>0.004689502783361628</v>
      </c>
      <c r="AD46" s="31">
        <v>0.004113796361860452</v>
      </c>
      <c r="AE46" s="31">
        <v>0.003065522610340333</v>
      </c>
      <c r="AF46" s="31">
        <v>0.0013435790010883242</v>
      </c>
      <c r="AG46" s="31">
        <v>0.0010003211195791979</v>
      </c>
      <c r="AH46" s="31">
        <v>3.868558108546036E-4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>
        <v>0.0</v>
      </c>
      <c r="AO46" s="31">
        <v>0.0</v>
      </c>
      <c r="AP46" s="31">
        <v>0.0</v>
      </c>
      <c r="AQ46" s="31">
        <v>0.0</v>
      </c>
      <c r="AR46" s="31">
        <v>0.0</v>
      </c>
      <c r="AS46" s="31">
        <v>0.0</v>
      </c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1">J47</f>
        <v>0.01096763384</v>
      </c>
      <c r="G47" s="55">
        <f t="shared" si="41"/>
        <v>0.01030381913</v>
      </c>
      <c r="H47" s="32">
        <f t="shared" si="35"/>
        <v>0.06442414244</v>
      </c>
      <c r="I47" s="30"/>
      <c r="J47" s="40">
        <v>0.010967633844858146</v>
      </c>
      <c r="K47" s="40">
        <v>0.01030381913335129</v>
      </c>
      <c r="L47" s="40">
        <v>0.012043772125286832</v>
      </c>
      <c r="M47" s="40">
        <v>0.010759414751728995</v>
      </c>
      <c r="N47" s="40">
        <v>0.01102247253929746</v>
      </c>
      <c r="O47" s="40">
        <v>0.011410269257392032</v>
      </c>
      <c r="P47" s="40">
        <v>0.01072855559056785</v>
      </c>
      <c r="Q47" s="40">
        <v>0.007001388888643781</v>
      </c>
      <c r="R47" s="40">
        <v>0.005556458638700668</v>
      </c>
      <c r="S47" s="40">
        <v>0.005429437375191844</v>
      </c>
      <c r="T47" s="40">
        <v>0.006720001835259765</v>
      </c>
      <c r="U47" s="40">
        <v>0.009011937417862246</v>
      </c>
      <c r="V47" s="40">
        <v>0.008872211681440824</v>
      </c>
      <c r="W47" s="40">
        <v>0.008007644750559956</v>
      </c>
      <c r="X47" s="31">
        <v>0.006486442414775713</v>
      </c>
      <c r="Y47" s="31">
        <v>0.003031718853443269</v>
      </c>
      <c r="Z47" s="31">
        <v>0.0010739997229045578</v>
      </c>
      <c r="AA47" s="31">
        <v>6.541695768029485E-4</v>
      </c>
      <c r="AB47" s="31">
        <v>2.960150980701884E-5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>
        <v>0.0</v>
      </c>
      <c r="AO47" s="31">
        <v>0.0</v>
      </c>
      <c r="AP47" s="31">
        <v>0.0</v>
      </c>
      <c r="AQ47" s="31">
        <v>0.0</v>
      </c>
      <c r="AR47" s="31">
        <v>0.0</v>
      </c>
      <c r="AS47" s="31">
        <v>0.0</v>
      </c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2">J48</f>
        <v>0.0163351042</v>
      </c>
      <c r="G48" s="55">
        <f t="shared" si="42"/>
        <v>0.01281241154</v>
      </c>
      <c r="H48" s="32">
        <f t="shared" si="35"/>
        <v>0.2749437641</v>
      </c>
      <c r="I48" s="30"/>
      <c r="J48" s="40">
        <v>0.01633510420255962</v>
      </c>
      <c r="K48" s="40">
        <v>0.012812411544915506</v>
      </c>
      <c r="L48" s="40">
        <v>0.008463548668352005</v>
      </c>
      <c r="M48" s="40">
        <v>0.009316808389196034</v>
      </c>
      <c r="N48" s="40">
        <v>0.0036641823497192273</v>
      </c>
      <c r="O48" s="40">
        <v>0.004073767222112325</v>
      </c>
      <c r="P48" s="40">
        <v>0.0025050768414816562</v>
      </c>
      <c r="Q48" s="40">
        <v>6.40451672514284E-4</v>
      </c>
      <c r="R48" s="40">
        <v>4.8531340108645915E-4</v>
      </c>
      <c r="S48" s="40">
        <v>0.001179675608103533</v>
      </c>
      <c r="T48" s="40">
        <v>0.003051769111152683</v>
      </c>
      <c r="U48" s="40">
        <v>0.0031856940698419688</v>
      </c>
      <c r="V48" s="40">
        <v>0.004258461095834608</v>
      </c>
      <c r="W48" s="40">
        <v>0.004277245809211681</v>
      </c>
      <c r="X48" s="31">
        <v>0.0023484513873710693</v>
      </c>
      <c r="Y48" s="31">
        <v>6.395620612967952E-5</v>
      </c>
      <c r="Z48" s="31">
        <v>1.3003568513958829E-7</v>
      </c>
      <c r="AA48" s="31">
        <v>5.5279366062232344E-8</v>
      </c>
      <c r="AB48" s="31">
        <v>-2.565464183306997E-5</v>
      </c>
      <c r="AC48" s="31">
        <v>-4.484854355846108E-16</v>
      </c>
      <c r="AD48" s="31">
        <v>1.6059027788260795E-16</v>
      </c>
      <c r="AE48" s="31">
        <v>-2.1368882490786695E-16</v>
      </c>
      <c r="AF48" s="31">
        <v>3.5553498170951896E-8</v>
      </c>
      <c r="AG48" s="31">
        <v>7.604090928572295E-7</v>
      </c>
      <c r="AH48" s="31">
        <v>-2.968618205980348E-4</v>
      </c>
      <c r="AI48" s="31">
        <v>0.0015179369596570631</v>
      </c>
      <c r="AJ48" s="31">
        <v>1.220470155015515E-6</v>
      </c>
      <c r="AK48" s="31">
        <v>2.3474279918366802E-7</v>
      </c>
      <c r="AL48" s="31">
        <v>5.4014475200299676E-17</v>
      </c>
      <c r="AM48" s="31">
        <v>-3.3248890610108003E-16</v>
      </c>
      <c r="AN48" s="31">
        <v>1.251514644593082E-17</v>
      </c>
      <c r="AO48" s="31">
        <v>-1.3352340387478377E-16</v>
      </c>
      <c r="AP48" s="31">
        <v>2.441929445581177E-16</v>
      </c>
      <c r="AQ48" s="31">
        <v>1.536450057412762E-16</v>
      </c>
      <c r="AR48" s="31">
        <v>2.1480801950220128E-17</v>
      </c>
      <c r="AS48" s="31">
        <v>1.7002418119647506E-17</v>
      </c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>
        <f t="shared" ref="F51:G51" si="43">J51</f>
        <v>1</v>
      </c>
      <c r="G51" s="55">
        <f t="shared" si="43"/>
        <v>1</v>
      </c>
      <c r="H51" s="32">
        <f t="shared" ref="H51:H57" si="45">IFERROR(F51/G51-1,"-")</f>
        <v>0</v>
      </c>
      <c r="J51" s="58">
        <v>1.0</v>
      </c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  <c r="AD51" s="59">
        <v>1.0</v>
      </c>
    </row>
    <row r="52">
      <c r="C52" s="60" t="s">
        <v>44</v>
      </c>
      <c r="D52" s="39" t="s">
        <v>10</v>
      </c>
      <c r="F52" s="55">
        <f t="shared" ref="F52:G52" si="44">J52</f>
        <v>0.06429193307</v>
      </c>
      <c r="G52" s="55">
        <f t="shared" si="44"/>
        <v>0.06438460376</v>
      </c>
      <c r="H52" s="32">
        <f t="shared" si="45"/>
        <v>-0.00143932997</v>
      </c>
      <c r="J52" s="58">
        <v>0.0642919330709978</v>
      </c>
      <c r="K52" s="58">
        <v>0.064384603760822</v>
      </c>
      <c r="L52" s="58">
        <v>0.0684470033496276</v>
      </c>
      <c r="M52" s="58">
        <v>0.0702605145595621</v>
      </c>
      <c r="N52" s="58">
        <v>0.0675031003620561</v>
      </c>
      <c r="O52" s="58">
        <v>0.072916236760166</v>
      </c>
      <c r="P52" s="58">
        <v>0.0766028618957936</v>
      </c>
      <c r="Q52" s="58">
        <v>0.0760259076088697</v>
      </c>
      <c r="R52" s="58">
        <v>0.0704199456119902</v>
      </c>
      <c r="S52" s="58">
        <v>0.0803872643955719</v>
      </c>
      <c r="T52" s="58">
        <v>0.0853096972902271</v>
      </c>
      <c r="U52" s="58">
        <v>0.0925456034213423</v>
      </c>
      <c r="V52" s="58">
        <v>0.0924367566821464</v>
      </c>
      <c r="W52" s="58">
        <v>0.0964576172362892</v>
      </c>
      <c r="X52" s="31">
        <v>0.0891538499230912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  <c r="AD52" s="59">
        <v>0.0</v>
      </c>
    </row>
    <row r="53">
      <c r="C53" s="60" t="s">
        <v>45</v>
      </c>
      <c r="D53" s="39" t="s">
        <v>10</v>
      </c>
      <c r="F53" s="55">
        <f t="shared" ref="F53:G53" si="46">J53</f>
        <v>0.00008834508345</v>
      </c>
      <c r="G53" s="55">
        <f t="shared" si="46"/>
        <v>0.0001329048063</v>
      </c>
      <c r="H53" s="32">
        <f t="shared" si="45"/>
        <v>-0.3352754809</v>
      </c>
      <c r="J53" s="58">
        <v>8.83450834501339E-5</v>
      </c>
      <c r="K53" s="58">
        <v>1.329048062906E-4</v>
      </c>
      <c r="L53" s="58">
        <v>1.61967132758686E-4</v>
      </c>
      <c r="M53" s="58">
        <v>1.69016742565133E-4</v>
      </c>
      <c r="N53" s="58">
        <v>3.19939704068493E-4</v>
      </c>
      <c r="O53" s="58">
        <v>4.27904243747279E-4</v>
      </c>
      <c r="P53" s="58">
        <v>4.32181243523443E-4</v>
      </c>
      <c r="Q53" s="58">
        <v>4.29365584203711E-4</v>
      </c>
      <c r="R53" s="58">
        <v>3.83984227164011E-4</v>
      </c>
      <c r="S53" s="58">
        <v>4.60428283171472E-4</v>
      </c>
      <c r="T53" s="58">
        <v>5.83085979928835E-4</v>
      </c>
      <c r="U53" s="58">
        <v>7.28842781530164E-4</v>
      </c>
      <c r="V53" s="58">
        <v>7.52998109579556E-4</v>
      </c>
      <c r="W53" s="58">
        <v>6.48160630824105E-4</v>
      </c>
      <c r="X53" s="31">
        <v>0.00527382382752173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  <c r="AD53" s="59">
        <v>0.0</v>
      </c>
    </row>
    <row r="54">
      <c r="C54" s="60" t="s">
        <v>46</v>
      </c>
      <c r="D54" s="39" t="s">
        <v>10</v>
      </c>
      <c r="F54" s="55">
        <f t="shared" ref="F54:G54" si="47">J54</f>
        <v>0.00181265533</v>
      </c>
      <c r="G54" s="55">
        <f t="shared" si="47"/>
        <v>0.001687598814</v>
      </c>
      <c r="H54" s="32">
        <f t="shared" si="45"/>
        <v>0.07410322615</v>
      </c>
      <c r="J54" s="58">
        <v>0.00181265533044229</v>
      </c>
      <c r="K54" s="58">
        <v>0.00168759881387918</v>
      </c>
      <c r="L54" s="58">
        <v>0.00176795479907086</v>
      </c>
      <c r="M54" s="58">
        <v>0.00216654863045204</v>
      </c>
      <c r="N54" s="58">
        <v>0.0021199503880266</v>
      </c>
      <c r="O54" s="58">
        <v>0.00287950326087153</v>
      </c>
      <c r="P54" s="58">
        <v>0.00394799113689271</v>
      </c>
      <c r="Q54" s="58">
        <v>0.00485133400017525</v>
      </c>
      <c r="R54" s="58">
        <v>0.00440989965404414</v>
      </c>
      <c r="S54" s="58">
        <v>0.00671747117278562</v>
      </c>
      <c r="T54" s="58">
        <v>0.0102095248807611</v>
      </c>
      <c r="U54" s="58">
        <v>0.00848613104462613</v>
      </c>
      <c r="V54" s="58">
        <v>0.0127896863284345</v>
      </c>
      <c r="W54" s="58">
        <v>0.0120510943307375</v>
      </c>
      <c r="X54" s="31">
        <v>0.0131774449143011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  <c r="AD54" s="59">
        <v>0.0</v>
      </c>
    </row>
    <row r="55">
      <c r="C55" s="60" t="s">
        <v>47</v>
      </c>
      <c r="D55" s="39" t="s">
        <v>10</v>
      </c>
      <c r="F55" s="55">
        <f t="shared" ref="F55:G55" si="48">J55</f>
        <v>0.05829708295</v>
      </c>
      <c r="G55" s="55">
        <f t="shared" si="48"/>
        <v>0.05747912756</v>
      </c>
      <c r="H55" s="32">
        <f t="shared" si="45"/>
        <v>0.01423047671</v>
      </c>
      <c r="J55" s="58">
        <v>0.058297082949809</v>
      </c>
      <c r="K55" s="58">
        <v>0.0574791275636928</v>
      </c>
      <c r="L55" s="58">
        <v>0.0612714728110983</v>
      </c>
      <c r="M55" s="58">
        <v>0.0625003534516866</v>
      </c>
      <c r="N55" s="58">
        <v>0.059955433364511</v>
      </c>
      <c r="O55" s="58">
        <v>0.0653436533212329</v>
      </c>
      <c r="P55" s="58">
        <v>0.0661740147700908</v>
      </c>
      <c r="Q55" s="58">
        <v>0.065637901902396</v>
      </c>
      <c r="R55" s="58">
        <v>0.0605848690023826</v>
      </c>
      <c r="S55" s="58">
        <v>0.0666583896472425</v>
      </c>
      <c r="T55" s="58">
        <v>0.0689388921916593</v>
      </c>
      <c r="U55" s="58">
        <v>0.0778397379739802</v>
      </c>
      <c r="V55" s="58">
        <v>0.0729028742239627</v>
      </c>
      <c r="W55" s="58">
        <v>0.0753907237267666</v>
      </c>
      <c r="X55" s="31">
        <v>0.065127315234515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  <c r="AD55" s="59">
        <v>0.0</v>
      </c>
    </row>
    <row r="56">
      <c r="C56" s="60" t="s">
        <v>48</v>
      </c>
      <c r="D56" s="39" t="s">
        <v>10</v>
      </c>
      <c r="F56" s="55">
        <f t="shared" ref="F56:G56" si="49">J56</f>
        <v>0.004093849707</v>
      </c>
      <c r="G56" s="55">
        <f t="shared" si="49"/>
        <v>0.005084972577</v>
      </c>
      <c r="H56" s="32">
        <f t="shared" si="45"/>
        <v>-0.1949121366</v>
      </c>
      <c r="J56" s="58">
        <v>0.00409384970729634</v>
      </c>
      <c r="K56" s="58">
        <v>0.00508497257695939</v>
      </c>
      <c r="L56" s="58">
        <v>0.00524560860669976</v>
      </c>
      <c r="M56" s="58">
        <v>0.00542459573485827</v>
      </c>
      <c r="N56" s="58">
        <v>0.00510777690545008</v>
      </c>
      <c r="O56" s="58">
        <v>0.00426517593431432</v>
      </c>
      <c r="P56" s="58">
        <v>0.0060486747452866</v>
      </c>
      <c r="Q56" s="58">
        <v>0.00510730612209471</v>
      </c>
      <c r="R56" s="58">
        <v>0.00504119272839954</v>
      </c>
      <c r="S56" s="58">
        <v>0.0065509752923723</v>
      </c>
      <c r="T56" s="58">
        <v>0.00557819423787777</v>
      </c>
      <c r="U56" s="58">
        <v>0.00549089162120585</v>
      </c>
      <c r="V56" s="58">
        <v>0.00599119802016956</v>
      </c>
      <c r="W56" s="58">
        <v>0.00836763854796101</v>
      </c>
      <c r="X56" s="31">
        <v>0.00557526594675332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  <c r="AD56" s="59">
        <v>0.0</v>
      </c>
    </row>
    <row r="57">
      <c r="C57" s="60" t="s">
        <v>49</v>
      </c>
      <c r="D57" s="39" t="s">
        <v>10</v>
      </c>
      <c r="F57" s="55">
        <f t="shared" ref="F57:G57" si="50">J57</f>
        <v>0.9357080669</v>
      </c>
      <c r="G57" s="55">
        <f t="shared" si="50"/>
        <v>0.9356153962</v>
      </c>
      <c r="H57" s="32">
        <f t="shared" si="45"/>
        <v>0.00009904784615</v>
      </c>
      <c r="J57" s="58">
        <v>0.935708066929002</v>
      </c>
      <c r="K57" s="58">
        <v>0.935615396239178</v>
      </c>
      <c r="L57" s="58">
        <v>0.931552996650372</v>
      </c>
      <c r="M57" s="58">
        <v>0.929739485440437</v>
      </c>
      <c r="N57" s="58">
        <v>0.932496899637943</v>
      </c>
      <c r="O57" s="58">
        <v>0.927083763239833</v>
      </c>
      <c r="P57" s="58">
        <v>0.923397138104206</v>
      </c>
      <c r="Q57" s="58">
        <v>0.92397409239113</v>
      </c>
      <c r="R57" s="58">
        <v>0.929580054388009</v>
      </c>
      <c r="S57" s="58">
        <v>0.919612735604428</v>
      </c>
      <c r="T57" s="58">
        <v>0.914690302709772</v>
      </c>
      <c r="U57" s="58">
        <v>0.907454396578657</v>
      </c>
      <c r="V57" s="58">
        <v>0.907563243317853</v>
      </c>
      <c r="W57" s="58">
        <v>0.90354238276371</v>
      </c>
      <c r="X57" s="31">
        <v>0.910846150076908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  <c r="AD57" s="59">
        <v>1.0</v>
      </c>
    </row>
    <row r="58">
      <c r="D58" s="3"/>
      <c r="F58" s="4"/>
      <c r="G58" s="4"/>
      <c r="H58" s="5"/>
    </row>
    <row r="59">
      <c r="D59" s="3"/>
      <c r="F59" s="4"/>
      <c r="G59" s="4"/>
      <c r="H59" s="5"/>
    </row>
    <row r="60">
      <c r="C60" s="28" t="s">
        <v>37</v>
      </c>
      <c r="D60" s="79"/>
      <c r="E60" s="80"/>
      <c r="F60" s="81">
        <f t="shared" ref="F60:G60" si="51">F3</f>
        <v>45992</v>
      </c>
      <c r="G60" s="81">
        <f t="shared" si="51"/>
        <v>45962</v>
      </c>
      <c r="H60" s="82" t="s">
        <v>58</v>
      </c>
      <c r="K60" s="83">
        <v>45474.0</v>
      </c>
      <c r="L60" s="84">
        <v>45444.0</v>
      </c>
      <c r="M60" s="82" t="s">
        <v>58</v>
      </c>
    </row>
    <row r="61">
      <c r="C61" s="38" t="s">
        <v>59</v>
      </c>
      <c r="D61" s="85"/>
      <c r="E61" s="86"/>
      <c r="F61" s="87">
        <f t="shared" ref="F61:G61" si="52">F$14*F52</f>
        <v>103963.0011</v>
      </c>
      <c r="G61" s="87">
        <f t="shared" si="52"/>
        <v>113677.9392</v>
      </c>
      <c r="H61" s="88">
        <f t="shared" ref="H61:H66" si="55">F61/G61-1</f>
        <v>-0.08546018852</v>
      </c>
      <c r="K61" s="87">
        <f t="shared" ref="K61:L61" si="53">K$14*K52</f>
        <v>113677.9392</v>
      </c>
      <c r="L61" s="87">
        <f t="shared" si="53"/>
        <v>106576.4542</v>
      </c>
      <c r="M61" s="88">
        <f t="shared" ref="M61:M66" si="57">K61/L61-1</f>
        <v>0.06663277543</v>
      </c>
    </row>
    <row r="62">
      <c r="C62" s="38" t="s">
        <v>60</v>
      </c>
      <c r="D62" s="85"/>
      <c r="E62" s="86"/>
      <c r="F62" s="87">
        <f t="shared" ref="F62:G62" si="54">F$14*F53</f>
        <v>142.8580471</v>
      </c>
      <c r="G62" s="87">
        <f t="shared" si="54"/>
        <v>234.6577225</v>
      </c>
      <c r="H62" s="88">
        <f t="shared" si="55"/>
        <v>-0.3912067092</v>
      </c>
      <c r="K62" s="87">
        <f t="shared" ref="K62:L62" si="56">K$14*K53</f>
        <v>234.6577225</v>
      </c>
      <c r="L62" s="87">
        <f t="shared" si="56"/>
        <v>252.1934031</v>
      </c>
      <c r="M62" s="88">
        <f t="shared" si="57"/>
        <v>-0.0695326698</v>
      </c>
    </row>
    <row r="63">
      <c r="C63" s="38" t="s">
        <v>61</v>
      </c>
      <c r="D63" s="85"/>
      <c r="E63" s="86"/>
      <c r="F63" s="87">
        <f t="shared" ref="F63:G63" si="58">F$14*F54</f>
        <v>2931.146709</v>
      </c>
      <c r="G63" s="87">
        <f t="shared" si="58"/>
        <v>2979.63712</v>
      </c>
      <c r="H63" s="88">
        <f t="shared" si="55"/>
        <v>-0.01627393163</v>
      </c>
      <c r="K63" s="87">
        <f t="shared" ref="K63:L63" si="59">K$14*K54</f>
        <v>2979.63712</v>
      </c>
      <c r="L63" s="87">
        <f t="shared" si="59"/>
        <v>2752.82108</v>
      </c>
      <c r="M63" s="88">
        <f t="shared" si="57"/>
        <v>0.082394036</v>
      </c>
    </row>
    <row r="64">
      <c r="C64" s="38" t="s">
        <v>62</v>
      </c>
      <c r="D64" s="85"/>
      <c r="E64" s="86"/>
      <c r="F64" s="87">
        <f t="shared" ref="F64:G64" si="60">F$14*F55</f>
        <v>94269.05377</v>
      </c>
      <c r="G64" s="87">
        <f t="shared" si="60"/>
        <v>101485.5786</v>
      </c>
      <c r="H64" s="88">
        <f t="shared" si="55"/>
        <v>-0.07110887019</v>
      </c>
      <c r="K64" s="87">
        <f t="shared" ref="K64:L64" si="61">K$14*K55</f>
        <v>101485.5786</v>
      </c>
      <c r="L64" s="87">
        <f t="shared" si="61"/>
        <v>95403.68457</v>
      </c>
      <c r="M64" s="88">
        <f t="shared" si="57"/>
        <v>0.06374904775</v>
      </c>
    </row>
    <row r="65">
      <c r="C65" s="38" t="s">
        <v>63</v>
      </c>
      <c r="D65" s="85"/>
      <c r="E65" s="86"/>
      <c r="F65" s="87">
        <f t="shared" ref="F65:G65" si="62">F$14*F56</f>
        <v>6619.94252</v>
      </c>
      <c r="G65" s="87">
        <f t="shared" si="62"/>
        <v>8978.065709</v>
      </c>
      <c r="H65" s="88">
        <f t="shared" si="55"/>
        <v>-0.2626538127</v>
      </c>
      <c r="K65" s="87">
        <f t="shared" ref="K65:L65" si="63">K$14*K56</f>
        <v>8978.065709</v>
      </c>
      <c r="L65" s="87">
        <f t="shared" si="63"/>
        <v>8167.755171</v>
      </c>
      <c r="M65" s="88">
        <f t="shared" si="57"/>
        <v>0.09920847549</v>
      </c>
    </row>
    <row r="66">
      <c r="C66" s="38" t="s">
        <v>64</v>
      </c>
      <c r="D66" s="85"/>
      <c r="E66" s="86"/>
      <c r="F66" s="87">
        <f t="shared" ref="F66:G66" si="64">F$14*F57</f>
        <v>1513082.81</v>
      </c>
      <c r="G66" s="87">
        <f t="shared" si="64"/>
        <v>1651929.559</v>
      </c>
      <c r="H66" s="88">
        <f t="shared" si="55"/>
        <v>-0.08405125284</v>
      </c>
      <c r="K66" s="87">
        <f t="shared" ref="K66:L66" si="65">K$14*K57</f>
        <v>1651929.559</v>
      </c>
      <c r="L66" s="87">
        <f t="shared" si="65"/>
        <v>1450488.852</v>
      </c>
      <c r="M66" s="88">
        <f t="shared" si="57"/>
        <v>0.1388778044</v>
      </c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3"/>
    </customSheetView>
  </customSheetViews>
  <mergeCells count="1">
    <mergeCell ref="C1:C2"/>
  </mergeCells>
  <conditionalFormatting sqref="H6 H8:H12 H1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72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</row>
    <row r="3" ht="44.25" customHeight="1">
      <c r="C3" s="2" t="s">
        <v>2</v>
      </c>
      <c r="D3" s="3"/>
      <c r="E3" s="10"/>
      <c r="F3" s="91" t="s">
        <v>73</v>
      </c>
      <c r="G3" s="91" t="s">
        <v>74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1">J6</f>
        <v>9393.555556</v>
      </c>
      <c r="G6" s="31">
        <f t="shared" si="1"/>
        <v>14226.13333</v>
      </c>
      <c r="H6" s="32">
        <f>IFERROR(F6/G6-1,"-")</f>
        <v>-0.3396972083</v>
      </c>
      <c r="I6" s="30"/>
      <c r="J6" s="31">
        <v>9393.555555555555</v>
      </c>
      <c r="K6" s="31">
        <v>14226.133333333333</v>
      </c>
      <c r="L6" s="31">
        <v>37465.25806451613</v>
      </c>
      <c r="M6" s="31">
        <v>42149.166666666664</v>
      </c>
      <c r="N6" s="31">
        <v>47124.45161290323</v>
      </c>
      <c r="O6" s="31">
        <v>51636.6129032258</v>
      </c>
      <c r="P6" s="31">
        <v>54552.2</v>
      </c>
      <c r="Q6" s="31">
        <v>59040.74193548387</v>
      </c>
      <c r="R6" s="31">
        <v>66515.36666666667</v>
      </c>
      <c r="S6" s="31">
        <v>71551.41935483871</v>
      </c>
      <c r="T6" s="31">
        <v>81094.5</v>
      </c>
      <c r="U6" s="31">
        <v>90070.6129032258</v>
      </c>
      <c r="V6" s="31">
        <v>103331.87096774194</v>
      </c>
      <c r="W6" s="31">
        <v>120237.86666666667</v>
      </c>
      <c r="X6" s="31">
        <v>125915.29032258065</v>
      </c>
      <c r="Y6" s="31">
        <v>146807.63333333333</v>
      </c>
      <c r="Z6" s="31">
        <v>165427.93548387097</v>
      </c>
      <c r="AA6" s="31">
        <v>194821.5806451613</v>
      </c>
      <c r="AB6" s="31">
        <v>220198.46666666667</v>
      </c>
      <c r="AC6" s="31">
        <v>238364.38709677418</v>
      </c>
      <c r="AD6" s="31">
        <v>278586.2</v>
      </c>
      <c r="AE6" s="31">
        <v>270411.70967741933</v>
      </c>
      <c r="AF6" s="31">
        <v>279301.4137931034</v>
      </c>
      <c r="AG6" s="31">
        <v>295904.70967741933</v>
      </c>
      <c r="AH6" s="31">
        <v>251052.90322580645</v>
      </c>
      <c r="AI6" s="31">
        <v>260981.26666666666</v>
      </c>
      <c r="AJ6" s="31">
        <v>247559.67741935485</v>
      </c>
      <c r="AK6" s="31">
        <v>255136.9</v>
      </c>
      <c r="AL6" s="31">
        <v>248603.09677419355</v>
      </c>
      <c r="AM6" s="31">
        <v>258123.0</v>
      </c>
      <c r="AN6" s="31">
        <v>239655.3</v>
      </c>
      <c r="AO6" s="31">
        <v>223862.16129032258</v>
      </c>
      <c r="AP6" s="31">
        <v>233956.26666666666</v>
      </c>
      <c r="AQ6" s="31">
        <v>239438.25806451612</v>
      </c>
      <c r="AR6" s="31">
        <v>230088.9642857143</v>
      </c>
      <c r="AS6" s="31">
        <v>231991.29032258064</v>
      </c>
      <c r="AT6" s="31">
        <v>198291.35483870967</v>
      </c>
      <c r="AU6" s="31">
        <v>215726.66666666666</v>
      </c>
      <c r="AV6" s="31">
        <v>220967.4516129032</v>
      </c>
      <c r="AW6" s="31">
        <v>234549.73333333334</v>
      </c>
      <c r="AX6" s="31">
        <v>243939.8064516129</v>
      </c>
      <c r="AY6" s="33">
        <v>224657.96774193548</v>
      </c>
      <c r="AZ6" s="33">
        <v>218913.9</v>
      </c>
      <c r="BA6" s="33">
        <v>202744.7741935484</v>
      </c>
      <c r="BB6" s="33">
        <v>202750.63333333333</v>
      </c>
      <c r="BC6" s="33">
        <v>205080.64516129033</v>
      </c>
      <c r="BD6" s="33">
        <v>191277.14285714287</v>
      </c>
      <c r="BE6" s="33">
        <v>183348.5483870968</v>
      </c>
    </row>
    <row r="7">
      <c r="D7" s="3"/>
      <c r="F7" s="4"/>
      <c r="G7" s="4"/>
      <c r="H7" s="5"/>
    </row>
    <row r="8">
      <c r="A8" s="26"/>
      <c r="B8" s="27" t="s">
        <v>7</v>
      </c>
      <c r="C8" s="28" t="s">
        <v>8</v>
      </c>
      <c r="D8" s="29" t="s">
        <v>6</v>
      </c>
      <c r="E8" s="30"/>
      <c r="F8" s="31" t="str">
        <f t="shared" ref="F8:G8" si="2">J8</f>
        <v/>
      </c>
      <c r="G8" s="31" t="str">
        <f t="shared" si="2"/>
        <v/>
      </c>
      <c r="H8" s="32" t="str">
        <f t="shared" ref="H8:H12" si="4">IFERROR(F8/G8-1,"-")</f>
        <v>-</v>
      </c>
      <c r="I8" s="30"/>
      <c r="J8" s="31"/>
      <c r="K8" s="31"/>
      <c r="L8" s="31">
        <v>1126.4</v>
      </c>
      <c r="M8" s="31">
        <v>1234.6666666666667</v>
      </c>
      <c r="N8" s="31">
        <v>1275.9354838709678</v>
      </c>
      <c r="O8" s="31">
        <v>1416.774193548387</v>
      </c>
      <c r="P8" s="31">
        <v>1465.3666666666666</v>
      </c>
      <c r="Q8" s="31">
        <v>1585.225806451613</v>
      </c>
      <c r="R8" s="31">
        <v>1709.5666666666666</v>
      </c>
      <c r="S8" s="31">
        <v>2020.2903225806451</v>
      </c>
      <c r="T8" s="31">
        <v>2222.1785714285716</v>
      </c>
      <c r="U8" s="31">
        <v>2551.5806451612902</v>
      </c>
      <c r="V8" s="31">
        <v>3085.0967741935483</v>
      </c>
      <c r="W8" s="31">
        <v>3519.0333333333333</v>
      </c>
      <c r="X8" s="31">
        <v>3737.2258064516127</v>
      </c>
      <c r="Y8" s="31">
        <v>4335.133333333333</v>
      </c>
      <c r="Z8" s="31">
        <v>5102.774193548387</v>
      </c>
      <c r="AA8" s="31">
        <v>7619.8387096774195</v>
      </c>
      <c r="AB8" s="31">
        <v>8171.933333333333</v>
      </c>
      <c r="AC8" s="31">
        <v>9529.161290322581</v>
      </c>
      <c r="AD8" s="31">
        <v>12756.866666666667</v>
      </c>
      <c r="AE8" s="31">
        <v>14066.612903225807</v>
      </c>
      <c r="AF8" s="31">
        <v>12758.241379310344</v>
      </c>
      <c r="AG8" s="31">
        <v>14286.967741935483</v>
      </c>
      <c r="AH8" s="31">
        <v>12079.516129032258</v>
      </c>
      <c r="AI8" s="31">
        <v>13554.966666666667</v>
      </c>
      <c r="AJ8" s="36">
        <v>12535.709677419354</v>
      </c>
      <c r="AK8" s="36">
        <v>13636.066666666668</v>
      </c>
      <c r="AL8" s="36">
        <v>11936.935483870968</v>
      </c>
      <c r="AM8" s="36">
        <v>12860.032258064517</v>
      </c>
      <c r="AN8" s="36">
        <v>12393.166666666666</v>
      </c>
      <c r="AO8" s="36">
        <v>11280.870967741936</v>
      </c>
      <c r="AP8" s="36">
        <v>12279.8</v>
      </c>
      <c r="AQ8" s="36">
        <v>13225.548387096775</v>
      </c>
      <c r="AR8" s="36">
        <v>12940.57142857143</v>
      </c>
      <c r="AS8" s="36">
        <v>13750.838709677419</v>
      </c>
      <c r="AT8" s="36">
        <v>11248.41935483871</v>
      </c>
      <c r="AU8" s="36">
        <v>12584.466666666667</v>
      </c>
      <c r="AV8" s="36">
        <v>12597.064516129032</v>
      </c>
      <c r="AW8" s="36">
        <v>15541.7</v>
      </c>
      <c r="AX8" s="36">
        <v>17784.129032258064</v>
      </c>
      <c r="AY8" s="37">
        <v>17890.483870967742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 t="str">
        <f t="shared" ref="F9:G9" si="3">J9</f>
        <v/>
      </c>
      <c r="G9" s="40" t="str">
        <f t="shared" si="3"/>
        <v/>
      </c>
      <c r="H9" s="32" t="str">
        <f t="shared" si="4"/>
        <v>-</v>
      </c>
      <c r="I9" s="30"/>
      <c r="J9" s="40"/>
      <c r="K9" s="40"/>
      <c r="L9" s="40">
        <v>0.030065187274576105</v>
      </c>
      <c r="M9" s="40">
        <v>0.029292789497617593</v>
      </c>
      <c r="N9" s="40">
        <v>0.027075869112535237</v>
      </c>
      <c r="O9" s="40">
        <v>0.0274373959462372</v>
      </c>
      <c r="P9" s="40">
        <v>0.026861733654493614</v>
      </c>
      <c r="Q9" s="40">
        <v>0.026849693186170514</v>
      </c>
      <c r="R9" s="40">
        <v>0.025701830303874643</v>
      </c>
      <c r="S9" s="40">
        <v>0.028235503094097905</v>
      </c>
      <c r="T9" s="40">
        <v>0.027402333961348446</v>
      </c>
      <c r="U9" s="40">
        <v>0.028328669728302776</v>
      </c>
      <c r="V9" s="40">
        <v>0.02985619775680488</v>
      </c>
      <c r="W9" s="40">
        <v>0.029267263557570325</v>
      </c>
      <c r="X9" s="40">
        <v>0.0296804764288536</v>
      </c>
      <c r="Y9" s="40">
        <v>0.029529345544929655</v>
      </c>
      <c r="Z9" s="40">
        <v>0.030845903859121192</v>
      </c>
      <c r="AA9" s="40">
        <v>0.03911188218699359</v>
      </c>
      <c r="AB9" s="40">
        <v>0.037111672288362894</v>
      </c>
      <c r="AC9" s="40">
        <v>0.03997728606351675</v>
      </c>
      <c r="AD9" s="40">
        <v>0.04579145222077284</v>
      </c>
      <c r="AE9" s="40">
        <v>0.05201924472873682</v>
      </c>
      <c r="AF9" s="40">
        <v>0.045679114924785866</v>
      </c>
      <c r="AG9" s="40">
        <v>0.04828232628507477</v>
      </c>
      <c r="AH9" s="40">
        <v>0.04811542098825077</v>
      </c>
      <c r="AI9" s="40">
        <v>0.05193846608147354</v>
      </c>
      <c r="AJ9" s="36">
        <v>0.050637122362154445</v>
      </c>
      <c r="AK9" s="36">
        <v>0.05344607803366219</v>
      </c>
      <c r="AL9" s="36">
        <v>0.04801603696318111</v>
      </c>
      <c r="AM9" s="36">
        <v>0.049821334240127836</v>
      </c>
      <c r="AN9" s="36">
        <v>0.05171246647441833</v>
      </c>
      <c r="AO9" s="36">
        <v>0.05039203991742038</v>
      </c>
      <c r="AP9" s="36">
        <v>0.05248758742374643</v>
      </c>
      <c r="AQ9" s="36">
        <v>0.05523573590120748</v>
      </c>
      <c r="AR9" s="36">
        <v>0.05624159971663135</v>
      </c>
      <c r="AS9" s="36">
        <v>0.05927308172025368</v>
      </c>
      <c r="AT9" s="36">
        <v>0.05672672600370391</v>
      </c>
      <c r="AU9" s="36">
        <v>0.058335239037053066</v>
      </c>
      <c r="AV9" s="36">
        <v>0.05700868804061203</v>
      </c>
      <c r="AW9" s="36">
        <v>0.0662618532075358</v>
      </c>
      <c r="AX9" s="36">
        <v>0.07290375970592428</v>
      </c>
      <c r="AY9" s="37">
        <v>0.07963431722803856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 t="str">
        <f t="shared" ref="F10:G10" si="5">J10</f>
        <v/>
      </c>
      <c r="G10" s="31" t="str">
        <f t="shared" si="5"/>
        <v/>
      </c>
      <c r="H10" s="32" t="str">
        <f t="shared" si="4"/>
        <v>-</v>
      </c>
      <c r="I10" s="30"/>
      <c r="J10" s="31"/>
      <c r="K10" s="31"/>
      <c r="L10" s="31">
        <v>1676.1</v>
      </c>
      <c r="M10" s="31">
        <v>1839.4666666666667</v>
      </c>
      <c r="N10" s="31">
        <v>1878.0645161290322</v>
      </c>
      <c r="O10" s="31">
        <v>2077.2903225806454</v>
      </c>
      <c r="P10" s="31">
        <v>2190.7</v>
      </c>
      <c r="Q10" s="31">
        <v>2382.1935483870966</v>
      </c>
      <c r="R10" s="31">
        <v>2574.1666666666665</v>
      </c>
      <c r="S10" s="31">
        <v>3101.7096774193546</v>
      </c>
      <c r="T10" s="31">
        <v>3404.3928571428573</v>
      </c>
      <c r="U10" s="31">
        <v>3965.8064516129034</v>
      </c>
      <c r="V10" s="31">
        <v>4889.612903225807</v>
      </c>
      <c r="W10" s="31">
        <v>5528.433333333333</v>
      </c>
      <c r="X10" s="31">
        <v>5749.032258064516</v>
      </c>
      <c r="Y10" s="31">
        <v>6718.433333333333</v>
      </c>
      <c r="Z10" s="31">
        <v>8231.193548387097</v>
      </c>
      <c r="AA10" s="31">
        <v>12981.451612903225</v>
      </c>
      <c r="AB10" s="31">
        <v>13978.133333333333</v>
      </c>
      <c r="AC10" s="31">
        <v>16333.935483870968</v>
      </c>
      <c r="AD10" s="31">
        <v>21829.766666666666</v>
      </c>
      <c r="AE10" s="31">
        <v>24576.83870967742</v>
      </c>
      <c r="AF10" s="31">
        <v>21649.137931034482</v>
      </c>
      <c r="AG10" s="31">
        <v>25337.645161290322</v>
      </c>
      <c r="AH10" s="31">
        <v>21424.645161290322</v>
      </c>
      <c r="AI10" s="31">
        <v>23999.166666666668</v>
      </c>
      <c r="AJ10" s="36">
        <v>21661.290322580644</v>
      </c>
      <c r="AK10" s="36">
        <v>23627.833333333332</v>
      </c>
      <c r="AL10" s="36">
        <v>20643.483870967742</v>
      </c>
      <c r="AM10" s="36">
        <v>22454.322580645163</v>
      </c>
      <c r="AN10" s="36">
        <v>22077.233333333334</v>
      </c>
      <c r="AO10" s="36">
        <v>19959.709677419356</v>
      </c>
      <c r="AP10" s="36">
        <v>21746.633333333335</v>
      </c>
      <c r="AQ10" s="36">
        <v>23181.967741935485</v>
      </c>
      <c r="AR10" s="36">
        <v>22340.821428571428</v>
      </c>
      <c r="AS10" s="36">
        <v>24099.0</v>
      </c>
      <c r="AT10" s="36">
        <v>19551.83870967742</v>
      </c>
      <c r="AU10" s="36">
        <v>22221.566666666666</v>
      </c>
      <c r="AV10" s="36">
        <v>21917.322580645163</v>
      </c>
      <c r="AW10" s="36">
        <v>28147.866666666672</v>
      </c>
      <c r="AX10" s="36">
        <v>32127.677419354837</v>
      </c>
      <c r="AY10" s="37">
        <v>32242.322580645163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 t="str">
        <f t="shared" ref="F11:G11" si="6">J11</f>
        <v/>
      </c>
      <c r="G11" s="41" t="str">
        <f t="shared" si="6"/>
        <v/>
      </c>
      <c r="H11" s="32" t="str">
        <f t="shared" si="4"/>
        <v>-</v>
      </c>
      <c r="I11" s="30"/>
      <c r="J11" s="41"/>
      <c r="K11" s="41"/>
      <c r="L11" s="41">
        <v>0.04473744708000444</v>
      </c>
      <c r="M11" s="41">
        <v>0.043641827635975405</v>
      </c>
      <c r="N11" s="41">
        <v>0.03985329169570211</v>
      </c>
      <c r="O11" s="41">
        <v>0.04022901979403212</v>
      </c>
      <c r="P11" s="41">
        <v>0.04015786714376322</v>
      </c>
      <c r="Q11" s="41">
        <v>0.040348299670593786</v>
      </c>
      <c r="R11" s="41">
        <v>0.03870033039984244</v>
      </c>
      <c r="S11" s="41">
        <v>0.043349380143492565</v>
      </c>
      <c r="T11" s="41">
        <v>0.04198056412139982</v>
      </c>
      <c r="U11" s="41">
        <v>0.044029970750547334</v>
      </c>
      <c r="V11" s="41">
        <v>0.047319504209424816</v>
      </c>
      <c r="W11" s="41">
        <v>0.04597913691083452</v>
      </c>
      <c r="X11" s="41">
        <v>0.04565793592927554</v>
      </c>
      <c r="Y11" s="41">
        <v>0.04576351502158494</v>
      </c>
      <c r="Z11" s="41">
        <v>0.049756974384714055</v>
      </c>
      <c r="AA11" s="41">
        <v>0.06663251355375778</v>
      </c>
      <c r="AB11" s="41">
        <v>0.06347970331007452</v>
      </c>
      <c r="AC11" s="41">
        <v>0.06852506652866525</v>
      </c>
      <c r="AD11" s="41">
        <v>0.0783591099152315</v>
      </c>
      <c r="AE11" s="41">
        <v>0.09088673984937903</v>
      </c>
      <c r="AF11" s="41">
        <v>0.07751173772099627</v>
      </c>
      <c r="AG11" s="41">
        <v>0.08562771842635478</v>
      </c>
      <c r="AH11" s="41">
        <v>0.08533916511620734</v>
      </c>
      <c r="AI11" s="41">
        <v>0.09195743040560511</v>
      </c>
      <c r="AJ11" s="31">
        <v>0.0874992670389023</v>
      </c>
      <c r="AK11" s="31">
        <v>0.09260845190693048</v>
      </c>
      <c r="AL11" s="31">
        <v>0.08303791923283338</v>
      </c>
      <c r="AM11" s="31">
        <v>0.08699078571318776</v>
      </c>
      <c r="AN11" s="31">
        <v>0.09212078069349326</v>
      </c>
      <c r="AO11" s="31">
        <v>0.08916071194155045</v>
      </c>
      <c r="AP11" s="31">
        <v>0.09295170265439924</v>
      </c>
      <c r="AQ11" s="31">
        <v>0.09681814397300349</v>
      </c>
      <c r="AR11" s="31">
        <v>0.09709644918401904</v>
      </c>
      <c r="AS11" s="31">
        <v>0.10387889979184425</v>
      </c>
      <c r="AT11" s="31">
        <v>0.09860156901737295</v>
      </c>
      <c r="AU11" s="31">
        <v>0.10300797305231929</v>
      </c>
      <c r="AV11" s="31">
        <v>0.09918801353169662</v>
      </c>
      <c r="AW11" s="31">
        <v>0.12000809494276411</v>
      </c>
      <c r="AX11" s="31">
        <v>0.1317032996241537</v>
      </c>
      <c r="AY11" s="33">
        <v>0.14351737846076265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 t="str">
        <f t="shared" ref="F12:G12" si="7">J12</f>
        <v/>
      </c>
      <c r="G12" s="31" t="str">
        <f t="shared" si="7"/>
        <v/>
      </c>
      <c r="H12" s="32" t="str">
        <f t="shared" si="4"/>
        <v>-</v>
      </c>
      <c r="I12" s="30"/>
      <c r="J12" s="31"/>
      <c r="K12" s="31"/>
      <c r="L12" s="31">
        <v>24567.902624175465</v>
      </c>
      <c r="M12" s="31">
        <v>24662.781845137084</v>
      </c>
      <c r="N12" s="31">
        <v>25613.67614024379</v>
      </c>
      <c r="O12" s="31">
        <v>27359.347041231806</v>
      </c>
      <c r="P12" s="31">
        <v>26923.39324018968</v>
      </c>
      <c r="Q12" s="31">
        <v>28981.305419427736</v>
      </c>
      <c r="R12" s="31">
        <v>30051.479196255936</v>
      </c>
      <c r="S12" s="31">
        <v>34354.08475436339</v>
      </c>
      <c r="T12" s="31">
        <v>38841.5870304278</v>
      </c>
      <c r="U12" s="31">
        <v>39651.39678772127</v>
      </c>
      <c r="V12" s="31">
        <v>50203.22677143531</v>
      </c>
      <c r="W12" s="31">
        <v>59099.13633278732</v>
      </c>
      <c r="X12" s="31">
        <v>59039.73580396432</v>
      </c>
      <c r="Y12" s="31">
        <v>60394.48988694414</v>
      </c>
      <c r="Z12" s="31">
        <v>72726.58526590872</v>
      </c>
      <c r="AA12" s="31">
        <v>96422.57173434804</v>
      </c>
      <c r="AB12" s="31">
        <v>110916.20045134917</v>
      </c>
      <c r="AC12" s="31">
        <v>132286.4339970529</v>
      </c>
      <c r="AD12" s="31">
        <v>170758.8833507628</v>
      </c>
      <c r="AE12" s="31">
        <v>183446.38057822542</v>
      </c>
      <c r="AF12" s="31">
        <v>185514.64745142972</v>
      </c>
      <c r="AG12" s="31">
        <v>207206.78745601067</v>
      </c>
      <c r="AH12" s="31">
        <v>180597.7305890753</v>
      </c>
      <c r="AI12" s="31">
        <v>216590.53640275393</v>
      </c>
      <c r="AJ12" s="31">
        <v>191086.9716725269</v>
      </c>
      <c r="AK12" s="31">
        <v>199953.71417851545</v>
      </c>
      <c r="AL12" s="31">
        <v>195795.80608046977</v>
      </c>
      <c r="AM12" s="31">
        <v>208620.58427196278</v>
      </c>
      <c r="AN12" s="31">
        <v>193376.2843265558</v>
      </c>
      <c r="AO12" s="31">
        <v>171905.5666165892</v>
      </c>
      <c r="AP12" s="31">
        <v>186409.51408284044</v>
      </c>
      <c r="AQ12" s="31">
        <v>190475.53238540466</v>
      </c>
      <c r="AR12" s="31">
        <v>185665.95956877078</v>
      </c>
      <c r="AS12" s="31">
        <v>190696.08252536837</v>
      </c>
      <c r="AT12" s="31">
        <v>167557.06117730014</v>
      </c>
      <c r="AU12" s="31">
        <v>189740.40791035534</v>
      </c>
      <c r="AV12" s="31">
        <v>185027.9555025833</v>
      </c>
      <c r="AW12" s="31">
        <v>194210.02337743467</v>
      </c>
      <c r="AX12" s="31">
        <v>209562.9803358346</v>
      </c>
      <c r="AY12" s="33">
        <v>208273.44957642577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 t="str">
        <f t="shared" ref="F14:G14" si="8">J14</f>
        <v/>
      </c>
      <c r="G14" s="31">
        <f t="shared" si="8"/>
        <v>19.05701164</v>
      </c>
      <c r="H14" s="32">
        <f t="shared" ref="H14:H16" si="10">IFERROR(F14/G14-1,"-")</f>
        <v>-1</v>
      </c>
      <c r="I14" s="30"/>
      <c r="J14" s="31"/>
      <c r="K14" s="31">
        <v>19.057011644444444</v>
      </c>
      <c r="L14" s="31">
        <v>163.79145730322585</v>
      </c>
      <c r="M14" s="31">
        <v>146.86865334715725</v>
      </c>
      <c r="N14" s="31">
        <v>141.172255750621</v>
      </c>
      <c r="O14" s="31">
        <v>206.43538828124912</v>
      </c>
      <c r="P14" s="31">
        <v>193.9080836389558</v>
      </c>
      <c r="Q14" s="31">
        <v>148.89809831281485</v>
      </c>
      <c r="R14" s="31">
        <v>302.21518855307204</v>
      </c>
      <c r="S14" s="31">
        <v>343.2318464218284</v>
      </c>
      <c r="T14" s="31">
        <v>279.0100123107198</v>
      </c>
      <c r="U14" s="31">
        <v>291.23673968333304</v>
      </c>
      <c r="V14" s="31">
        <v>331.3152828739167</v>
      </c>
      <c r="W14" s="31">
        <v>324.0327643436131</v>
      </c>
      <c r="X14" s="36">
        <v>382.1041161338093</v>
      </c>
      <c r="Y14" s="36">
        <v>575.1988898058949</v>
      </c>
      <c r="Z14" s="36">
        <v>898.1083137944777</v>
      </c>
      <c r="AA14" s="36">
        <v>2658.432923752544</v>
      </c>
      <c r="AB14" s="36">
        <v>2363.0751163291147</v>
      </c>
      <c r="AC14" s="36">
        <v>2185.6350910558867</v>
      </c>
      <c r="AD14" s="36">
        <v>3113.5965521216754</v>
      </c>
      <c r="AE14" s="36">
        <v>2960.6308690307947</v>
      </c>
      <c r="AF14" s="36">
        <v>2275.044914446296</v>
      </c>
      <c r="AG14" s="36">
        <v>2038.1163308913417</v>
      </c>
      <c r="AH14" s="36">
        <v>1566.2878263619734</v>
      </c>
      <c r="AI14" s="36">
        <v>1681.9036571751628</v>
      </c>
      <c r="AJ14" s="36">
        <v>1476.803800042267</v>
      </c>
      <c r="AK14" s="36">
        <v>1618.1508163076678</v>
      </c>
      <c r="AL14" s="36">
        <v>1513.076011627276</v>
      </c>
      <c r="AM14" s="36">
        <v>1902.4099212755627</v>
      </c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 t="str">
        <f t="shared" ref="F15:G15" si="9">J15</f>
        <v/>
      </c>
      <c r="G15" s="40" t="str">
        <f t="shared" si="9"/>
        <v/>
      </c>
      <c r="H15" s="32" t="str">
        <f t="shared" si="10"/>
        <v>-</v>
      </c>
      <c r="I15" s="30"/>
      <c r="J15" s="40"/>
      <c r="K15" s="40"/>
      <c r="L15" s="40">
        <v>0.006666888086004164</v>
      </c>
      <c r="M15" s="40">
        <v>0.005955072475983331</v>
      </c>
      <c r="N15" s="40">
        <v>0.005511596811705347</v>
      </c>
      <c r="O15" s="40">
        <v>0.007545333153241611</v>
      </c>
      <c r="P15" s="40">
        <v>0.007202215631182071</v>
      </c>
      <c r="Q15" s="40">
        <v>0.005137729172578969</v>
      </c>
      <c r="R15" s="40">
        <v>0.010056582791795637</v>
      </c>
      <c r="S15" s="40">
        <v>0.00999100540375286</v>
      </c>
      <c r="T15" s="40">
        <v>0.007183280438364899</v>
      </c>
      <c r="U15" s="40">
        <v>0.007344930148173732</v>
      </c>
      <c r="V15" s="40">
        <v>0.006599481829770131</v>
      </c>
      <c r="W15" s="40">
        <v>0.005482868015515221</v>
      </c>
      <c r="X15" s="36">
        <v>0.006471982147795321</v>
      </c>
      <c r="Y15" s="36">
        <v>0.009524029276224408</v>
      </c>
      <c r="Z15" s="36">
        <v>0.012349106045756756</v>
      </c>
      <c r="AA15" s="36">
        <v>0.027570649443749966</v>
      </c>
      <c r="AB15" s="36">
        <v>0.02130504927786111</v>
      </c>
      <c r="AC15" s="36">
        <v>0.016521989632773522</v>
      </c>
      <c r="AD15" s="36">
        <v>0.01823387744768692</v>
      </c>
      <c r="AE15" s="36">
        <v>0.01613894403203185</v>
      </c>
      <c r="AF15" s="36">
        <v>0.01226342472521979</v>
      </c>
      <c r="AG15" s="36">
        <v>0.009836146566019355</v>
      </c>
      <c r="AH15" s="36">
        <v>0.008672799050425726</v>
      </c>
      <c r="AI15" s="36">
        <v>0.007765360782188716</v>
      </c>
      <c r="AJ15" s="36">
        <v>0.007728437931253223</v>
      </c>
      <c r="AK15" s="36">
        <v>0.008092626950970308</v>
      </c>
      <c r="AL15" s="36">
        <v>0.007727826463276847</v>
      </c>
      <c r="AM15" s="36">
        <v>0.009118994311680844</v>
      </c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 t="str">
        <f t="shared" ref="F16:G16" si="11">J16</f>
        <v/>
      </c>
      <c r="G16" s="36">
        <f t="shared" si="11"/>
        <v>0</v>
      </c>
      <c r="H16" s="32" t="str">
        <f t="shared" si="10"/>
        <v>-</v>
      </c>
      <c r="I16" s="30"/>
      <c r="J16" s="36"/>
      <c r="K16" s="36">
        <v>0.0</v>
      </c>
      <c r="L16" s="36">
        <v>7.623587598352178</v>
      </c>
      <c r="M16" s="36">
        <v>8.126760506514643</v>
      </c>
      <c r="N16" s="36">
        <v>6.753175696908914</v>
      </c>
      <c r="O16" s="36">
        <v>8.597128041363945</v>
      </c>
      <c r="P16" s="36">
        <v>10.475900247058616</v>
      </c>
      <c r="Q16" s="36">
        <v>13.671721425823883</v>
      </c>
      <c r="R16" s="36">
        <v>4.756661834511186</v>
      </c>
      <c r="S16" s="36">
        <v>7.094137080575489</v>
      </c>
      <c r="T16" s="36">
        <v>9.598773184691458</v>
      </c>
      <c r="U16" s="36">
        <v>9.229058063099107</v>
      </c>
      <c r="V16" s="36">
        <v>11.648143386433805</v>
      </c>
      <c r="W16" s="36">
        <v>10.336656392504564</v>
      </c>
      <c r="X16" s="31">
        <v>10.086478933296839</v>
      </c>
      <c r="Y16" s="31">
        <v>9.771235315544471</v>
      </c>
      <c r="Z16" s="31">
        <v>6.610426678881463</v>
      </c>
      <c r="AA16" s="31">
        <v>4.3214345251319095</v>
      </c>
      <c r="AB16" s="31">
        <v>4.124637086205312</v>
      </c>
      <c r="AC16" s="31">
        <v>4.484600711171072</v>
      </c>
      <c r="AD16" s="31">
        <v>4.519594191710833</v>
      </c>
      <c r="AE16" s="31">
        <v>4.515180675800642</v>
      </c>
      <c r="AF16" s="31">
        <v>4.985632846106333</v>
      </c>
      <c r="AG16" s="31">
        <v>5.2982463928507455</v>
      </c>
      <c r="AH16" s="31">
        <v>6.179905129862886</v>
      </c>
      <c r="AI16" s="31">
        <v>5.960244447937935</v>
      </c>
      <c r="AJ16" s="31">
        <v>5.82729157567767</v>
      </c>
      <c r="AK16" s="31">
        <v>7.789459765111114</v>
      </c>
      <c r="AL16" s="31">
        <v>7.679937575345688</v>
      </c>
      <c r="AM16" s="31">
        <v>6.640130362953897</v>
      </c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 t="str">
        <f t="shared" ref="F18:G18" si="12">J18</f>
        <v/>
      </c>
      <c r="G18" s="31">
        <f t="shared" si="12"/>
        <v>19.05701164</v>
      </c>
      <c r="H18" s="32">
        <f t="shared" ref="H18:H19" si="14">IFERROR(F18/G18-1,"-")</f>
        <v>-1</v>
      </c>
      <c r="I18" s="30"/>
      <c r="J18" s="31"/>
      <c r="K18" s="31">
        <v>19.0570116444444</v>
      </c>
      <c r="L18" s="31">
        <v>159.798011548387</v>
      </c>
      <c r="M18" s="31">
        <v>143.230607482738</v>
      </c>
      <c r="N18" s="31">
        <v>133.964040527823</v>
      </c>
      <c r="O18" s="31">
        <v>192.63447508487</v>
      </c>
      <c r="P18" s="31">
        <v>186.749489161727</v>
      </c>
      <c r="Q18" s="31">
        <v>133.968139124499</v>
      </c>
      <c r="R18" s="31">
        <v>289.890849108437</v>
      </c>
      <c r="S18" s="31">
        <v>307.673977839408</v>
      </c>
      <c r="T18" s="31">
        <v>257.834274139855</v>
      </c>
      <c r="U18" s="31">
        <v>256.281757130041</v>
      </c>
      <c r="V18" s="31">
        <v>303.918273592709</v>
      </c>
      <c r="W18" s="31">
        <v>314.476520808769</v>
      </c>
      <c r="X18" s="36">
        <v>362.657653421063</v>
      </c>
      <c r="Y18" s="36">
        <v>542.626007853957</v>
      </c>
      <c r="Z18" s="36">
        <v>857.510836635056</v>
      </c>
      <c r="AA18" s="36">
        <v>2601.92423226103</v>
      </c>
      <c r="AB18" s="36">
        <v>2304.44865647965</v>
      </c>
      <c r="AC18" s="36">
        <v>2130.50335512547</v>
      </c>
      <c r="AD18" s="36">
        <v>3082.49546110694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 t="str">
        <f t="shared" ref="F19:G19" si="13">J19</f>
        <v/>
      </c>
      <c r="G19" s="40" t="str">
        <f t="shared" si="13"/>
        <v/>
      </c>
      <c r="H19" s="32" t="str">
        <f t="shared" si="14"/>
        <v>-</v>
      </c>
      <c r="I19" s="30"/>
      <c r="J19" s="58"/>
      <c r="K19" s="58"/>
      <c r="L19" s="58">
        <v>0.00650434080567958</v>
      </c>
      <c r="M19" s="58">
        <v>0.00580756089812229</v>
      </c>
      <c r="N19" s="58">
        <v>0.00523017624624923</v>
      </c>
      <c r="O19" s="58">
        <v>0.00704090177278579</v>
      </c>
      <c r="P19" s="58">
        <v>0.0069363281030624</v>
      </c>
      <c r="Q19" s="58">
        <v>0.00462257090167834</v>
      </c>
      <c r="R19" s="58">
        <v>0.00964647521059645</v>
      </c>
      <c r="S19" s="58">
        <v>0.00895596491768945</v>
      </c>
      <c r="T19" s="58">
        <v>0.00663809833356892</v>
      </c>
      <c r="U19" s="58">
        <v>0.00646337274074046</v>
      </c>
      <c r="V19" s="58">
        <v>0.00605375975086989</v>
      </c>
      <c r="W19" s="58">
        <v>0.00532116948440585</v>
      </c>
      <c r="X19" s="36">
        <v>0.006142602917893</v>
      </c>
      <c r="Y19" s="36">
        <v>0.00898469394922831</v>
      </c>
      <c r="Z19" s="36">
        <v>0.0117908854581822</v>
      </c>
      <c r="AA19" s="36">
        <v>0.026984596920206</v>
      </c>
      <c r="AB19" s="36">
        <v>0.0207764839320334</v>
      </c>
      <c r="AC19" s="36">
        <v>0.016105229317565</v>
      </c>
      <c r="AD19" s="36">
        <v>0.0180517429056681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 t="str">
        <f t="shared" ref="F21:G21" si="15">J21</f>
        <v/>
      </c>
      <c r="G21" s="31">
        <f t="shared" si="15"/>
        <v>18.6124805</v>
      </c>
      <c r="H21" s="32">
        <f t="shared" ref="H21:H22" si="17">IFERROR(F21/G21-1,"-")</f>
        <v>-1</v>
      </c>
      <c r="I21" s="30"/>
      <c r="J21" s="31"/>
      <c r="K21" s="31">
        <v>18.6124804999999</v>
      </c>
      <c r="L21" s="31">
        <v>66.8946990709677</v>
      </c>
      <c r="M21" s="31">
        <v>65.7589644731592</v>
      </c>
      <c r="N21" s="31">
        <v>80.9540456960302</v>
      </c>
      <c r="O21" s="31">
        <v>47.0090703710006</v>
      </c>
      <c r="P21" s="31">
        <v>42.1529245704044</v>
      </c>
      <c r="Q21" s="31">
        <v>37.901651572223</v>
      </c>
      <c r="R21" s="31">
        <v>119.177929958338</v>
      </c>
      <c r="S21" s="31">
        <v>119.8124438135</v>
      </c>
      <c r="T21" s="31">
        <v>66.9349551029284</v>
      </c>
      <c r="U21" s="31">
        <v>102.390479914472</v>
      </c>
      <c r="V21" s="31">
        <v>98.6772783777386</v>
      </c>
      <c r="W21" s="31">
        <v>148.077681645601</v>
      </c>
      <c r="X21" s="36">
        <v>199.996760222823</v>
      </c>
      <c r="Y21" s="36">
        <v>220.952768187494</v>
      </c>
      <c r="Z21" s="36">
        <v>258.917681915555</v>
      </c>
      <c r="AA21" s="36">
        <v>185.852983203917</v>
      </c>
      <c r="AB21" s="36">
        <v>278.962615957189</v>
      </c>
      <c r="AC21" s="36">
        <v>384.147908661922</v>
      </c>
      <c r="AD21" s="36">
        <v>425.923789569833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26"/>
      <c r="B22" s="27"/>
      <c r="C22" s="28" t="s">
        <v>21</v>
      </c>
      <c r="D22" s="39" t="s">
        <v>10</v>
      </c>
      <c r="E22" s="30"/>
      <c r="F22" s="40" t="str">
        <f t="shared" ref="F22:G22" si="16">J22</f>
        <v/>
      </c>
      <c r="G22" s="40" t="str">
        <f t="shared" si="16"/>
        <v/>
      </c>
      <c r="H22" s="32" t="str">
        <f t="shared" si="17"/>
        <v>-</v>
      </c>
      <c r="I22" s="30"/>
      <c r="J22" s="58"/>
      <c r="K22" s="58"/>
      <c r="L22" s="58">
        <v>0.00272284940616549</v>
      </c>
      <c r="M22" s="58">
        <v>0.00266632389184942</v>
      </c>
      <c r="N22" s="58">
        <v>0.00316057895214957</v>
      </c>
      <c r="O22" s="58">
        <v>0.00171820878254717</v>
      </c>
      <c r="P22" s="58">
        <v>0.00156566166063648</v>
      </c>
      <c r="Q22" s="58">
        <v>0.00130779656139352</v>
      </c>
      <c r="R22" s="58">
        <v>0.003965792471646</v>
      </c>
      <c r="S22" s="58">
        <v>0.00348757490325173</v>
      </c>
      <c r="T22" s="58">
        <v>0.00172328064377217</v>
      </c>
      <c r="U22" s="58">
        <v>0.0025822666591705</v>
      </c>
      <c r="V22" s="58">
        <v>0.00196555649354961</v>
      </c>
      <c r="W22" s="58">
        <v>0.00250558114439737</v>
      </c>
      <c r="X22" s="36">
        <v>0.00338749415964349</v>
      </c>
      <c r="Y22" s="36">
        <v>0.00365849216710181</v>
      </c>
      <c r="Z22" s="36">
        <v>0.00356015177900736</v>
      </c>
      <c r="AA22" s="36">
        <v>0.00192748419650076</v>
      </c>
      <c r="AB22" s="36">
        <v>0.00251507547880302</v>
      </c>
      <c r="AC22" s="36">
        <v>0.00290391007645183</v>
      </c>
      <c r="AD22" s="36">
        <v>0.00249429945436528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7"/>
      <c r="AZ22" s="37"/>
      <c r="BA22" s="37"/>
      <c r="BB22" s="37"/>
      <c r="BC22" s="37"/>
      <c r="BD22" s="37"/>
      <c r="BE22" s="37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 t="str">
        <f t="shared" ref="F24:G24" si="18">J24</f>
        <v/>
      </c>
      <c r="G24" s="31" t="str">
        <f t="shared" si="18"/>
        <v/>
      </c>
      <c r="H24" s="32" t="str">
        <f t="shared" ref="H24:H26" si="20">IFERROR(F24/G24-1,"-")</f>
        <v>-</v>
      </c>
      <c r="I24" s="30"/>
      <c r="J24" s="31"/>
      <c r="K24" s="31"/>
      <c r="L24" s="31">
        <v>2676.9526516373</v>
      </c>
      <c r="M24" s="31">
        <v>2761.4513348322</v>
      </c>
      <c r="N24" s="31">
        <v>2820.5641699405</v>
      </c>
      <c r="O24" s="31">
        <v>3134.7395276591</v>
      </c>
      <c r="P24" s="31">
        <v>3191.3538059284</v>
      </c>
      <c r="Q24" s="31">
        <v>3463.9423435552</v>
      </c>
      <c r="R24" s="31">
        <v>3600.1978118628</v>
      </c>
      <c r="S24" s="31">
        <v>4148.0010774812</v>
      </c>
      <c r="T24" s="31">
        <v>4547.4198599799</v>
      </c>
      <c r="U24" s="31">
        <v>4677.7006674423</v>
      </c>
      <c r="V24" s="31">
        <v>6061.120152718</v>
      </c>
      <c r="W24" s="31">
        <v>7097.0914421059</v>
      </c>
      <c r="X24" s="31">
        <v>7004.3661545556</v>
      </c>
      <c r="Y24" s="31">
        <v>7253.2693686221</v>
      </c>
      <c r="Z24" s="31">
        <v>8547.5859139693</v>
      </c>
      <c r="AA24" s="31">
        <v>11644.4639463331</v>
      </c>
      <c r="AB24" s="31">
        <v>13386.061142944</v>
      </c>
      <c r="AC24" s="31">
        <v>15661.7776027165</v>
      </c>
      <c r="AD24" s="31">
        <v>12637.2795205547</v>
      </c>
      <c r="AE24" s="31">
        <v>13645.6164558629</v>
      </c>
      <c r="AF24" s="31">
        <v>13378.6931318657</v>
      </c>
      <c r="AG24" s="31">
        <v>14985.0217650462</v>
      </c>
      <c r="AH24" s="31">
        <v>13471.8650537107</v>
      </c>
      <c r="AI24" s="31">
        <v>16132.2212731552</v>
      </c>
      <c r="AJ24" s="31">
        <v>14061.5956475535</v>
      </c>
      <c r="AK24" s="31">
        <v>14858.943622482</v>
      </c>
      <c r="AL24" s="36">
        <v>14162.4612063397</v>
      </c>
      <c r="AM24" s="36">
        <v>15067.3680180346</v>
      </c>
      <c r="AN24" s="36">
        <v>14113.6253780321</v>
      </c>
      <c r="AO24" s="36">
        <v>12261.1264428398</v>
      </c>
      <c r="AP24" s="36">
        <v>13344.5820296711</v>
      </c>
      <c r="AQ24" s="36">
        <v>13768.548738548</v>
      </c>
      <c r="AR24" s="36">
        <v>13401.3818881141</v>
      </c>
      <c r="AS24" s="36">
        <v>13741.5125494861</v>
      </c>
      <c r="AT24" s="36">
        <v>12153.7418578522</v>
      </c>
      <c r="AU24" s="36">
        <v>13688.8841098995</v>
      </c>
      <c r="AV24" s="36">
        <v>7823.4367801778</v>
      </c>
      <c r="AW24" s="36">
        <v>8193.9540212327</v>
      </c>
      <c r="AX24" s="36">
        <v>7553.7867484964</v>
      </c>
      <c r="AY24" s="37">
        <v>7910.5729285265</v>
      </c>
      <c r="AZ24" s="37">
        <v>8101.5223747166</v>
      </c>
      <c r="BA24" s="37">
        <v>7116.7206199409</v>
      </c>
      <c r="BB24" s="37">
        <v>6712.6616638078</v>
      </c>
      <c r="BC24" s="37">
        <v>6905.0967856054</v>
      </c>
      <c r="BD24" s="37">
        <v>6765.3740444794</v>
      </c>
      <c r="BE24" s="37">
        <v>6510.359351735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 t="str">
        <f t="shared" ref="F25:G25" si="19">J25</f>
        <v/>
      </c>
      <c r="G25" s="40" t="str">
        <f t="shared" si="19"/>
        <v/>
      </c>
      <c r="H25" s="50" t="str">
        <f t="shared" si="20"/>
        <v>-</v>
      </c>
      <c r="I25" s="49"/>
      <c r="J25" s="40"/>
      <c r="K25" s="40"/>
      <c r="L25" s="40">
        <v>0.10896138317493605</v>
      </c>
      <c r="M25" s="40">
        <v>0.11196836399770095</v>
      </c>
      <c r="N25" s="40">
        <v>0.11011945940508225</v>
      </c>
      <c r="O25" s="40">
        <v>0.11457654756653739</v>
      </c>
      <c r="P25" s="40">
        <v>0.11853460585215286</v>
      </c>
      <c r="Q25" s="40">
        <v>0.11952333731775698</v>
      </c>
      <c r="R25" s="40">
        <v>0.11980101839084654</v>
      </c>
      <c r="S25" s="40">
        <v>0.12074258729755134</v>
      </c>
      <c r="T25" s="40">
        <v>0.1170760570729907</v>
      </c>
      <c r="U25" s="40">
        <v>0.11797064029004975</v>
      </c>
      <c r="V25" s="40">
        <v>0.1207316848439444</v>
      </c>
      <c r="W25" s="40">
        <v>0.12008790453623837</v>
      </c>
      <c r="X25" s="40">
        <v>0.11863816900896904</v>
      </c>
      <c r="Y25" s="40">
        <v>0.12009819740509284</v>
      </c>
      <c r="Z25" s="40">
        <v>0.11753041728436632</v>
      </c>
      <c r="AA25" s="40">
        <v>0.12076491776650117</v>
      </c>
      <c r="AB25" s="40">
        <v>0.12068625762938469</v>
      </c>
      <c r="AC25" s="40">
        <v>0.11839292306469926</v>
      </c>
      <c r="AD25" s="40">
        <v>0.07400657156205424</v>
      </c>
      <c r="AE25" s="40">
        <v>0.07438476797880524</v>
      </c>
      <c r="AF25" s="40">
        <v>0.07211664046834051</v>
      </c>
      <c r="AG25" s="40">
        <v>0.0723191645844491</v>
      </c>
      <c r="AH25" s="40">
        <v>0.07459598196371599</v>
      </c>
      <c r="AI25" s="40">
        <v>0.07448257685255948</v>
      </c>
      <c r="AJ25" s="40">
        <v>0.07358741166117488</v>
      </c>
      <c r="AK25" s="40">
        <v>0.07431191605281298</v>
      </c>
      <c r="AL25" s="40">
        <v>0.07233281187095036</v>
      </c>
      <c r="AM25" s="40">
        <v>0.07222378400777758</v>
      </c>
      <c r="AN25" s="40">
        <v>0.07298529614002888</v>
      </c>
      <c r="AO25" s="40">
        <v>0.07132477838944268</v>
      </c>
      <c r="AP25" s="40">
        <v>0.0715874513987562</v>
      </c>
      <c r="AQ25" s="40">
        <v>0.07228513062081367</v>
      </c>
      <c r="AR25" s="40">
        <v>0.07218006962202579</v>
      </c>
      <c r="AS25" s="40">
        <v>0.07205975270969744</v>
      </c>
      <c r="AT25" s="40">
        <v>0.07253494285741706</v>
      </c>
      <c r="AU25" s="40">
        <v>0.07214532877133342</v>
      </c>
      <c r="AV25" s="40">
        <v>0.04228245812330003</v>
      </c>
      <c r="AW25" s="40">
        <v>0.042191200426912455</v>
      </c>
      <c r="AX25" s="40">
        <v>0.03604542527688382</v>
      </c>
      <c r="AY25" s="51">
        <v>0.037981667584680405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 t="str">
        <f t="shared" ref="F26:G26" si="21">J26</f>
        <v/>
      </c>
      <c r="G26" s="31" t="str">
        <f t="shared" si="21"/>
        <v/>
      </c>
      <c r="H26" s="32" t="str">
        <f t="shared" si="20"/>
        <v>-</v>
      </c>
      <c r="I26" s="30"/>
      <c r="J26" s="31"/>
      <c r="K26" s="31"/>
      <c r="L26" s="31">
        <v>2945.1209882886</v>
      </c>
      <c r="M26" s="31">
        <v>3039.6060438816</v>
      </c>
      <c r="N26" s="31">
        <v>2587.113927247</v>
      </c>
      <c r="O26" s="31">
        <v>3378.9010680914</v>
      </c>
      <c r="P26" s="31">
        <v>3012.4757214878</v>
      </c>
      <c r="Q26" s="31">
        <v>3203.4442148291</v>
      </c>
      <c r="R26" s="31">
        <v>3037.9609222409</v>
      </c>
      <c r="S26" s="31">
        <v>3561.6382397409</v>
      </c>
      <c r="T26" s="31">
        <v>2902.2199073711</v>
      </c>
      <c r="U26" s="31">
        <v>3005.6016780357</v>
      </c>
      <c r="V26" s="31">
        <v>4994.6647168051</v>
      </c>
      <c r="W26" s="31">
        <v>3875.6399106348</v>
      </c>
      <c r="X26" s="31">
        <v>4371.9031076863</v>
      </c>
      <c r="Y26" s="31">
        <v>5575.0693045225</v>
      </c>
      <c r="Z26" s="31">
        <v>6046.618633314</v>
      </c>
      <c r="AA26" s="31">
        <v>10436.9297039003</v>
      </c>
      <c r="AB26" s="31">
        <v>11453.9813530805</v>
      </c>
      <c r="AC26" s="31">
        <v>11688.5669004064</v>
      </c>
      <c r="AD26" s="31">
        <v>15873.1553623725</v>
      </c>
      <c r="AE26" s="31">
        <v>17860.9991911699</v>
      </c>
      <c r="AF26" s="31">
        <v>11956.3032125649</v>
      </c>
      <c r="AG26" s="31">
        <v>15771.5214653112</v>
      </c>
      <c r="AH26" s="31">
        <v>14622.4931551043</v>
      </c>
      <c r="AI26" s="31">
        <v>16238.2932531138</v>
      </c>
      <c r="AJ26" s="31">
        <v>14018.7217349893</v>
      </c>
      <c r="AK26" s="31">
        <v>17656.8380547188</v>
      </c>
      <c r="AL26" s="36">
        <v>11881.4962213756</v>
      </c>
      <c r="AM26" s="36">
        <v>11152.1460165679</v>
      </c>
      <c r="AN26" s="36">
        <v>11482.4698123849</v>
      </c>
      <c r="AO26" s="36">
        <v>5358.7018985849</v>
      </c>
      <c r="AP26" s="36">
        <v>5424.8719263059</v>
      </c>
      <c r="AQ26" s="36">
        <v>6261.5403409719</v>
      </c>
      <c r="AR26" s="36">
        <v>6035.3023264256</v>
      </c>
      <c r="AS26" s="36">
        <v>6114.2485008082</v>
      </c>
      <c r="AT26" s="36">
        <v>6002.7394275578</v>
      </c>
      <c r="AU26" s="36">
        <v>6441.0824923264</v>
      </c>
      <c r="AV26" s="36">
        <v>6295.1307043664</v>
      </c>
      <c r="AW26" s="36">
        <v>21838.1984633609</v>
      </c>
      <c r="AX26" s="36">
        <v>29181.9700791572</v>
      </c>
      <c r="AY26" s="37">
        <v>31984.0331434131</v>
      </c>
      <c r="AZ26" s="37">
        <v>32446.8589800919</v>
      </c>
      <c r="BA26" s="37">
        <v>32064.4860431411</v>
      </c>
      <c r="BB26" s="37">
        <v>33127.118006091</v>
      </c>
      <c r="BC26" s="37">
        <v>36827.6311230417</v>
      </c>
      <c r="BD26" s="37">
        <v>40139.6477437268</v>
      </c>
      <c r="BE26" s="37">
        <v>42752.5592011426</v>
      </c>
    </row>
    <row r="27">
      <c r="D27" s="3"/>
      <c r="F27" s="4"/>
      <c r="G27" s="4"/>
      <c r="H27" s="5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 t="str">
        <f t="shared" ref="F29:G29" si="22">J29</f>
        <v/>
      </c>
      <c r="G29" s="55" t="str">
        <f t="shared" si="22"/>
        <v/>
      </c>
      <c r="H29" s="56" t="str">
        <f t="shared" ref="H29:H37" si="24">IFERROR(F29/G29-1,"-")</f>
        <v>-</v>
      </c>
      <c r="I29" s="30"/>
      <c r="J29" s="40"/>
      <c r="K29" s="40"/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 t="str">
        <f t="shared" ref="F30:G30" si="23">J30</f>
        <v/>
      </c>
      <c r="G30" s="55" t="str">
        <f t="shared" si="23"/>
        <v/>
      </c>
      <c r="H30" s="32" t="str">
        <f t="shared" si="24"/>
        <v>-</v>
      </c>
      <c r="I30" s="30"/>
      <c r="J30" s="40"/>
      <c r="K30" s="40"/>
      <c r="L30" s="40">
        <v>0.29469139134122363</v>
      </c>
      <c r="M30" s="40">
        <v>0.3070488330406127</v>
      </c>
      <c r="N30" s="40">
        <v>0.27238222817593216</v>
      </c>
      <c r="O30" s="40">
        <v>0.2352868770482975</v>
      </c>
      <c r="P30" s="40">
        <v>0.3331951863449377</v>
      </c>
      <c r="Q30" s="40">
        <v>0.3332077350594125</v>
      </c>
      <c r="R30" s="40">
        <v>0.3312682776666153</v>
      </c>
      <c r="S30" s="40">
        <v>0.35164823668490486</v>
      </c>
      <c r="T30" s="40">
        <v>0.3590522415322791</v>
      </c>
      <c r="U30" s="40">
        <v>0.3771470148216578</v>
      </c>
      <c r="V30" s="40">
        <v>0.35679163306189343</v>
      </c>
      <c r="W30" s="40">
        <v>0.3395957179376636</v>
      </c>
      <c r="X30" s="31">
        <v>0.3418249752657208</v>
      </c>
      <c r="Y30" s="31">
        <v>0.3244862928750732</v>
      </c>
      <c r="Z30" s="31">
        <v>0.31950427694787087</v>
      </c>
      <c r="AA30" s="31">
        <v>0.34451143456278444</v>
      </c>
      <c r="AB30" s="31">
        <v>0.37044798205207763</v>
      </c>
      <c r="AC30" s="31">
        <v>0.3678062806055977</v>
      </c>
      <c r="AD30" s="31">
        <v>0.35803186999374503</v>
      </c>
      <c r="AE30" s="31">
        <v>0.3250879102754412</v>
      </c>
      <c r="AF30" s="31">
        <v>0.3159384029771264</v>
      </c>
      <c r="AG30" s="31">
        <v>0.3132214387410821</v>
      </c>
      <c r="AH30" s="31">
        <v>0.26352087978118505</v>
      </c>
      <c r="AI30" s="31">
        <v>0.23076011785464406</v>
      </c>
      <c r="AJ30" s="31">
        <v>0.23120269984733005</v>
      </c>
      <c r="AK30" s="31">
        <v>0.254384114825001</v>
      </c>
      <c r="AL30" s="31">
        <v>0.2648482353638266</v>
      </c>
      <c r="AM30" s="31">
        <v>0.2716399204817195</v>
      </c>
      <c r="AN30" s="31">
        <v>0.2630352042792139</v>
      </c>
      <c r="AO30" s="31">
        <v>0.27759569190747996</v>
      </c>
      <c r="AP30" s="31">
        <v>0.27049915175923755</v>
      </c>
      <c r="AQ30" s="31">
        <v>0.2811914236601899</v>
      </c>
      <c r="AR30" s="31">
        <v>0.29338018212815503</v>
      </c>
      <c r="AS30" s="31">
        <v>0.2916592722844103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 t="str">
        <f t="shared" ref="F31:G31" si="25">J31</f>
        <v/>
      </c>
      <c r="G31" s="55" t="str">
        <f t="shared" si="25"/>
        <v/>
      </c>
      <c r="H31" s="32" t="str">
        <f t="shared" si="24"/>
        <v>-</v>
      </c>
      <c r="I31" s="30"/>
      <c r="J31" s="40"/>
      <c r="K31" s="40"/>
      <c r="L31" s="40">
        <v>0.06411195497127878</v>
      </c>
      <c r="M31" s="40">
        <v>0.059841749805355886</v>
      </c>
      <c r="N31" s="40">
        <v>0.07068885568550673</v>
      </c>
      <c r="O31" s="40">
        <v>0.07582355022848615</v>
      </c>
      <c r="P31" s="40">
        <v>0.06767667464849267</v>
      </c>
      <c r="Q31" s="40">
        <v>0.06646391516733727</v>
      </c>
      <c r="R31" s="40">
        <v>0.07515006926273665</v>
      </c>
      <c r="S31" s="40">
        <v>0.08171613294694885</v>
      </c>
      <c r="T31" s="40">
        <v>0.070820938364386</v>
      </c>
      <c r="U31" s="40">
        <v>0.07486040827004357</v>
      </c>
      <c r="V31" s="40">
        <v>0.07351640346541093</v>
      </c>
      <c r="W31" s="40">
        <v>0.07531256261878594</v>
      </c>
      <c r="X31" s="31">
        <v>0.0823665316184233</v>
      </c>
      <c r="Y31" s="31">
        <v>0.10494409001160863</v>
      </c>
      <c r="Z31" s="31">
        <v>0.1334454224260832</v>
      </c>
      <c r="AA31" s="31">
        <v>0.12586046350794947</v>
      </c>
      <c r="AB31" s="31">
        <v>0.116926418291606</v>
      </c>
      <c r="AC31" s="31">
        <v>0.1464283133153761</v>
      </c>
      <c r="AD31" s="31">
        <v>0.1435075818763702</v>
      </c>
      <c r="AE31" s="31">
        <v>0.14389576117433614</v>
      </c>
      <c r="AF31" s="31">
        <v>0.14121656325920975</v>
      </c>
      <c r="AG31" s="31">
        <v>0.1500838950106457</v>
      </c>
      <c r="AH31" s="31">
        <v>0.13527498367663224</v>
      </c>
      <c r="AI31" s="31">
        <v>0.12010274650380352</v>
      </c>
      <c r="AJ31" s="31">
        <v>0.12197375743633544</v>
      </c>
      <c r="AK31" s="31">
        <v>0.12429485773420847</v>
      </c>
      <c r="AL31" s="31">
        <v>0.1192443109701523</v>
      </c>
      <c r="AM31" s="31">
        <v>0.12167737474430262</v>
      </c>
      <c r="AN31" s="31">
        <v>0.1243389364894956</v>
      </c>
      <c r="AO31" s="31">
        <v>0.12017667439657496</v>
      </c>
      <c r="AP31" s="31">
        <v>0.12273515118914619</v>
      </c>
      <c r="AQ31" s="31">
        <v>0.12563904617238764</v>
      </c>
      <c r="AR31" s="31">
        <v>0.12722262560093656</v>
      </c>
      <c r="AS31" s="31">
        <v>0.1241700793716378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 t="str">
        <f t="shared" ref="F32:G32" si="26">J32</f>
        <v/>
      </c>
      <c r="G32" s="55" t="str">
        <f t="shared" si="26"/>
        <v/>
      </c>
      <c r="H32" s="32" t="str">
        <f t="shared" si="24"/>
        <v>-</v>
      </c>
      <c r="I32" s="30"/>
      <c r="J32" s="40"/>
      <c r="K32" s="40"/>
      <c r="L32" s="40">
        <v>0.05077296734646671</v>
      </c>
      <c r="M32" s="40">
        <v>0.05643774104184396</v>
      </c>
      <c r="N32" s="40">
        <v>0.05262163601078538</v>
      </c>
      <c r="O32" s="40">
        <v>0.055067468804332775</v>
      </c>
      <c r="P32" s="40">
        <v>0.04690857739301283</v>
      </c>
      <c r="Q32" s="40">
        <v>0.045040438158549884</v>
      </c>
      <c r="R32" s="40">
        <v>0.0482273869991278</v>
      </c>
      <c r="S32" s="40">
        <v>0.04594767070835992</v>
      </c>
      <c r="T32" s="40">
        <v>0.04638588800167007</v>
      </c>
      <c r="U32" s="40">
        <v>0.04257649953810057</v>
      </c>
      <c r="V32" s="40">
        <v>0.04683638161146811</v>
      </c>
      <c r="W32" s="40">
        <v>0.04951210478058378</v>
      </c>
      <c r="X32" s="31">
        <v>0.05532187726270292</v>
      </c>
      <c r="Y32" s="31">
        <v>0.062324506136704136</v>
      </c>
      <c r="Z32" s="31">
        <v>0.05924967458005331</v>
      </c>
      <c r="AA32" s="31">
        <v>0.0555537717138136</v>
      </c>
      <c r="AB32" s="31">
        <v>0.051084751426048354</v>
      </c>
      <c r="AC32" s="31">
        <v>0.05026203372548867</v>
      </c>
      <c r="AD32" s="31">
        <v>0.04951296236693002</v>
      </c>
      <c r="AE32" s="31">
        <v>0.0565541810984661</v>
      </c>
      <c r="AF32" s="31">
        <v>0.055375244601437515</v>
      </c>
      <c r="AG32" s="31">
        <v>0.05828563722604454</v>
      </c>
      <c r="AH32" s="31">
        <v>0.13100190526051206</v>
      </c>
      <c r="AI32" s="31">
        <v>0.15545774598811976</v>
      </c>
      <c r="AJ32" s="31">
        <v>0.14666134950702192</v>
      </c>
      <c r="AK32" s="31">
        <v>0.16069510295217687</v>
      </c>
      <c r="AL32" s="31">
        <v>0.15638633946753738</v>
      </c>
      <c r="AM32" s="31">
        <v>0.15398887896510993</v>
      </c>
      <c r="AN32" s="31">
        <v>0.15491879659211927</v>
      </c>
      <c r="AO32" s="31">
        <v>0.15360408991222763</v>
      </c>
      <c r="AP32" s="31">
        <v>0.1527568974157391</v>
      </c>
      <c r="AQ32" s="31">
        <v>0.15060523677684687</v>
      </c>
      <c r="AR32" s="31">
        <v>0.14844372227215588</v>
      </c>
      <c r="AS32" s="31">
        <v>0.15015856716514964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 t="str">
        <f t="shared" ref="F33:G33" si="27">J33</f>
        <v/>
      </c>
      <c r="G33" s="55" t="str">
        <f t="shared" si="27"/>
        <v/>
      </c>
      <c r="H33" s="32" t="str">
        <f t="shared" si="24"/>
        <v>-</v>
      </c>
      <c r="I33" s="30"/>
      <c r="J33" s="40"/>
      <c r="K33" s="40"/>
      <c r="L33" s="40">
        <v>0.05258491075214927</v>
      </c>
      <c r="M33" s="40">
        <v>0.04771044197794636</v>
      </c>
      <c r="N33" s="40">
        <v>0.061981554948735126</v>
      </c>
      <c r="O33" s="40">
        <v>0.07633129721662334</v>
      </c>
      <c r="P33" s="40">
        <v>0.0719899306195125</v>
      </c>
      <c r="Q33" s="40">
        <v>0.06766158442222552</v>
      </c>
      <c r="R33" s="40">
        <v>0.06691549946128983</v>
      </c>
      <c r="S33" s="40">
        <v>0.07224831828595939</v>
      </c>
      <c r="T33" s="40">
        <v>0.07141589687385837</v>
      </c>
      <c r="U33" s="40">
        <v>0.0675926455800721</v>
      </c>
      <c r="V33" s="40">
        <v>0.07204646564508156</v>
      </c>
      <c r="W33" s="40">
        <v>0.07098920983441316</v>
      </c>
      <c r="X33" s="31">
        <v>0.07297579633324675</v>
      </c>
      <c r="Y33" s="31">
        <v>0.07355611338763929</v>
      </c>
      <c r="Z33" s="31">
        <v>0.07099191098989649</v>
      </c>
      <c r="AA33" s="31">
        <v>0.07661490506805904</v>
      </c>
      <c r="AB33" s="31">
        <v>0.07359125516122103</v>
      </c>
      <c r="AC33" s="31">
        <v>0.07502192566953865</v>
      </c>
      <c r="AD33" s="31">
        <v>0.07757379956154468</v>
      </c>
      <c r="AE33" s="31">
        <v>0.08007389081312881</v>
      </c>
      <c r="AF33" s="31">
        <v>0.07915003166820543</v>
      </c>
      <c r="AG33" s="31">
        <v>0.08341524010570511</v>
      </c>
      <c r="AH33" s="31">
        <v>0.09184813244312107</v>
      </c>
      <c r="AI33" s="31">
        <v>0.08895823519081693</v>
      </c>
      <c r="AJ33" s="31">
        <v>0.08767658971665293</v>
      </c>
      <c r="AK33" s="31">
        <v>0.08873544018312608</v>
      </c>
      <c r="AL33" s="31">
        <v>0.0897037681539071</v>
      </c>
      <c r="AM33" s="31">
        <v>0.09042035207006828</v>
      </c>
      <c r="AN33" s="31">
        <v>0.08986379368767548</v>
      </c>
      <c r="AO33" s="31">
        <v>0.08801444637557672</v>
      </c>
      <c r="AP33" s="31">
        <v>0.08694506127715788</v>
      </c>
      <c r="AQ33" s="31">
        <v>0.08139802891918235</v>
      </c>
      <c r="AR33" s="31">
        <v>0.07742685606630052</v>
      </c>
      <c r="AS33" s="31">
        <v>0.06405002621336733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 t="str">
        <f t="shared" ref="F34:G34" si="28">J34</f>
        <v/>
      </c>
      <c r="G34" s="55" t="str">
        <f t="shared" si="28"/>
        <v/>
      </c>
      <c r="H34" s="32" t="str">
        <f t="shared" si="24"/>
        <v>-</v>
      </c>
      <c r="I34" s="30"/>
      <c r="J34" s="40"/>
      <c r="K34" s="40"/>
      <c r="L34" s="40">
        <v>0.06368788311037434</v>
      </c>
      <c r="M34" s="40">
        <v>0.06427782505567727</v>
      </c>
      <c r="N34" s="40">
        <v>0.07195974376148521</v>
      </c>
      <c r="O34" s="40">
        <v>0.0735617681904205</v>
      </c>
      <c r="P34" s="40">
        <v>0.06124516485540615</v>
      </c>
      <c r="Q34" s="40">
        <v>0.06202311905370673</v>
      </c>
      <c r="R34" s="40">
        <v>0.06252885947360319</v>
      </c>
      <c r="S34" s="40">
        <v>0.05631518930398485</v>
      </c>
      <c r="T34" s="40">
        <v>0.058953081780700384</v>
      </c>
      <c r="U34" s="40">
        <v>0.05039200137343547</v>
      </c>
      <c r="V34" s="40">
        <v>0.05073236725030569</v>
      </c>
      <c r="W34" s="40">
        <v>0.05700510665687031</v>
      </c>
      <c r="X34" s="31">
        <v>0.05678106155657379</v>
      </c>
      <c r="Y34" s="31">
        <v>0.048453669620089894</v>
      </c>
      <c r="Z34" s="31">
        <v>0.047367972478770226</v>
      </c>
      <c r="AA34" s="31">
        <v>0.04273975038839724</v>
      </c>
      <c r="AB34" s="31">
        <v>0.043807728108069405</v>
      </c>
      <c r="AC34" s="31">
        <v>0.050008106149539905</v>
      </c>
      <c r="AD34" s="31">
        <v>0.05050282688301988</v>
      </c>
      <c r="AE34" s="31">
        <v>0.05663994722084777</v>
      </c>
      <c r="AF34" s="31">
        <v>0.06478117427596398</v>
      </c>
      <c r="AG34" s="31">
        <v>0.0655859294970708</v>
      </c>
      <c r="AH34" s="31">
        <v>0.058344698958427844</v>
      </c>
      <c r="AI34" s="31">
        <v>0.05756563817955272</v>
      </c>
      <c r="AJ34" s="31">
        <v>0.056879224091494825</v>
      </c>
      <c r="AK34" s="31">
        <v>0.05286387590620975</v>
      </c>
      <c r="AL34" s="31">
        <v>0.055808158772036515</v>
      </c>
      <c r="AM34" s="31">
        <v>0.05407531187876344</v>
      </c>
      <c r="AN34" s="31">
        <v>0.05606786717010359</v>
      </c>
      <c r="AO34" s="31">
        <v>0.05206956594709128</v>
      </c>
      <c r="AP34" s="31">
        <v>0.061727713949001346</v>
      </c>
      <c r="AQ34" s="31">
        <v>0.05888388728905575</v>
      </c>
      <c r="AR34" s="31">
        <v>0.05616097902679465</v>
      </c>
      <c r="AS34" s="31">
        <v>0.05618195192725824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 t="str">
        <f t="shared" ref="F35:G35" si="29">J35</f>
        <v/>
      </c>
      <c r="G35" s="55" t="str">
        <f t="shared" si="29"/>
        <v/>
      </c>
      <c r="H35" s="32" t="str">
        <f t="shared" si="24"/>
        <v>-</v>
      </c>
      <c r="I35" s="30"/>
      <c r="J35" s="40"/>
      <c r="K35" s="40"/>
      <c r="L35" s="40">
        <v>0.0</v>
      </c>
      <c r="M35" s="40">
        <v>0.0</v>
      </c>
      <c r="N35" s="40">
        <v>0.0</v>
      </c>
      <c r="O35" s="40">
        <v>0.0</v>
      </c>
      <c r="P35" s="40">
        <v>0.0</v>
      </c>
      <c r="Q35" s="40">
        <v>0.0</v>
      </c>
      <c r="R35" s="40">
        <v>0.0</v>
      </c>
      <c r="S35" s="40">
        <v>0.0</v>
      </c>
      <c r="T35" s="40">
        <v>0.0</v>
      </c>
      <c r="U35" s="40">
        <v>0.0</v>
      </c>
      <c r="V35" s="40">
        <v>0.0</v>
      </c>
      <c r="W35" s="40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0.0</v>
      </c>
      <c r="AD35" s="31">
        <v>0.0</v>
      </c>
      <c r="AE35" s="31">
        <v>0.0</v>
      </c>
      <c r="AF35" s="31">
        <v>0.0</v>
      </c>
      <c r="AG35" s="31">
        <v>0.0</v>
      </c>
      <c r="AH35" s="31">
        <v>0.0</v>
      </c>
      <c r="AI35" s="31">
        <v>0.0</v>
      </c>
      <c r="AJ35" s="31">
        <v>0.0</v>
      </c>
      <c r="AK35" s="31">
        <v>0.0</v>
      </c>
      <c r="AL35" s="31">
        <v>0.0</v>
      </c>
      <c r="AM35" s="31">
        <v>0.0</v>
      </c>
      <c r="AN35" s="31">
        <v>0.0</v>
      </c>
      <c r="AO35" s="31">
        <v>0.0</v>
      </c>
      <c r="AP35" s="31">
        <v>0.0</v>
      </c>
      <c r="AQ35" s="31">
        <v>0.0</v>
      </c>
      <c r="AR35" s="31">
        <v>0.0</v>
      </c>
      <c r="AS35" s="31">
        <v>0.0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 t="str">
        <f t="shared" ref="F36:G36" si="30">J36</f>
        <v/>
      </c>
      <c r="G36" s="55" t="str">
        <f t="shared" si="30"/>
        <v/>
      </c>
      <c r="H36" s="32" t="str">
        <f t="shared" si="24"/>
        <v>-</v>
      </c>
      <c r="I36" s="30"/>
      <c r="J36" s="40"/>
      <c r="K36" s="40"/>
      <c r="L36" s="40">
        <v>0.0</v>
      </c>
      <c r="M36" s="40">
        <v>0.0</v>
      </c>
      <c r="N36" s="40">
        <v>0.0</v>
      </c>
      <c r="O36" s="40">
        <v>0.0</v>
      </c>
      <c r="P36" s="40">
        <v>0.0</v>
      </c>
      <c r="Q36" s="40">
        <v>0.0</v>
      </c>
      <c r="R36" s="40">
        <v>0.0</v>
      </c>
      <c r="S36" s="40">
        <v>0.0</v>
      </c>
      <c r="T36" s="40">
        <v>0.0</v>
      </c>
      <c r="U36" s="40">
        <v>0.0</v>
      </c>
      <c r="V36" s="40">
        <v>0.0</v>
      </c>
      <c r="W36" s="40">
        <v>0.0</v>
      </c>
      <c r="X36" s="31">
        <v>0.0</v>
      </c>
      <c r="Y36" s="31">
        <v>0.0</v>
      </c>
      <c r="Z36" s="31">
        <v>0.0</v>
      </c>
      <c r="AA36" s="31">
        <v>0.0</v>
      </c>
      <c r="AB36" s="31">
        <v>0.0</v>
      </c>
      <c r="AC36" s="31">
        <v>0.0</v>
      </c>
      <c r="AD36" s="31">
        <v>0.0</v>
      </c>
      <c r="AE36" s="31">
        <v>0.0</v>
      </c>
      <c r="AF36" s="31">
        <v>0.0</v>
      </c>
      <c r="AG36" s="31">
        <v>0.0</v>
      </c>
      <c r="AH36" s="31">
        <v>0.0</v>
      </c>
      <c r="AI36" s="31">
        <v>0.0</v>
      </c>
      <c r="AJ36" s="31">
        <v>0.0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 t="str">
        <f t="shared" ref="F37:G37" si="31">J37</f>
        <v/>
      </c>
      <c r="G37" s="55" t="str">
        <f t="shared" si="31"/>
        <v/>
      </c>
      <c r="H37" s="56" t="str">
        <f t="shared" si="24"/>
        <v>-</v>
      </c>
      <c r="I37" s="30"/>
      <c r="J37" s="40"/>
      <c r="K37" s="40"/>
      <c r="L37" s="40">
        <v>0.4741508924785072</v>
      </c>
      <c r="M37" s="40">
        <v>0.4646834090785637</v>
      </c>
      <c r="N37" s="40">
        <v>0.4703659814175554</v>
      </c>
      <c r="O37" s="40">
        <v>0.4839290385118397</v>
      </c>
      <c r="P37" s="40">
        <v>0.41898446613863827</v>
      </c>
      <c r="Q37" s="40">
        <v>0.42560320813876806</v>
      </c>
      <c r="R37" s="40">
        <v>0.4159099071366272</v>
      </c>
      <c r="S37" s="40">
        <v>0.3921244520698421</v>
      </c>
      <c r="T37" s="40">
        <v>0.393371953447106</v>
      </c>
      <c r="U37" s="40">
        <v>0.38743143041669054</v>
      </c>
      <c r="V37" s="40">
        <v>0.4000767489658402</v>
      </c>
      <c r="W37" s="40">
        <v>0.4075852981716832</v>
      </c>
      <c r="X37" s="31">
        <v>0.3907297579633324</v>
      </c>
      <c r="Y37" s="31">
        <v>0.38623532796888493</v>
      </c>
      <c r="Z37" s="31">
        <v>0.3694407425773259</v>
      </c>
      <c r="AA37" s="31">
        <v>0.35471967475899613</v>
      </c>
      <c r="AB37" s="31">
        <v>0.34414186496097754</v>
      </c>
      <c r="AC37" s="31">
        <v>0.3104733405344589</v>
      </c>
      <c r="AD37" s="31">
        <v>0.32087095931839016</v>
      </c>
      <c r="AE37" s="31">
        <v>0.33774830941778</v>
      </c>
      <c r="AF37" s="31">
        <v>0.34353858321805686</v>
      </c>
      <c r="AG37" s="31">
        <v>0.3294078594194518</v>
      </c>
      <c r="AH37" s="31">
        <v>0.3200093998801218</v>
      </c>
      <c r="AI37" s="31">
        <v>0.347155516283063</v>
      </c>
      <c r="AJ37" s="31">
        <v>0.3556063794011648</v>
      </c>
      <c r="AK37" s="31">
        <v>0.3190266083992777</v>
      </c>
      <c r="AL37" s="31">
        <v>0.3140091872725401</v>
      </c>
      <c r="AM37" s="31">
        <v>0.3081981618600363</v>
      </c>
      <c r="AN37" s="31">
        <v>0.31177540178139224</v>
      </c>
      <c r="AO37" s="31">
        <v>0.30853953146104945</v>
      </c>
      <c r="AP37" s="31">
        <v>0.3053360244097179</v>
      </c>
      <c r="AQ37" s="31">
        <v>0.30228237718233747</v>
      </c>
      <c r="AR37" s="31">
        <v>0.2973656349056574</v>
      </c>
      <c r="AS37" s="31">
        <v>0.31378010303817666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 t="str">
        <f t="shared" ref="F40:G40" si="32">J40</f>
        <v/>
      </c>
      <c r="G40" s="55">
        <f t="shared" si="32"/>
        <v>1</v>
      </c>
      <c r="H40" s="32">
        <f t="shared" ref="H40:H48" si="34">IFERROR(F40/G40-1,"-")</f>
        <v>-1</v>
      </c>
      <c r="I40" s="30"/>
      <c r="J40" s="40"/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 t="str">
        <f t="shared" ref="F41:G41" si="33">J41</f>
        <v/>
      </c>
      <c r="G41" s="55">
        <f t="shared" si="33"/>
        <v>1.123191543</v>
      </c>
      <c r="H41" s="32">
        <f t="shared" si="34"/>
        <v>-1</v>
      </c>
      <c r="I41" s="30"/>
      <c r="J41" s="40"/>
      <c r="K41" s="40">
        <v>1.1231915433204844</v>
      </c>
      <c r="L41" s="40">
        <v>0.5546212073505782</v>
      </c>
      <c r="M41" s="40">
        <v>0.5996254632613629</v>
      </c>
      <c r="N41" s="40">
        <v>0.6742085315914318</v>
      </c>
      <c r="O41" s="40">
        <v>0.6192825782884418</v>
      </c>
      <c r="P41" s="40">
        <v>0.5801007322384514</v>
      </c>
      <c r="Q41" s="40">
        <v>0.4648159345378688</v>
      </c>
      <c r="R41" s="40">
        <v>0.7934870767047133</v>
      </c>
      <c r="S41" s="40">
        <v>0.7460928057472519</v>
      </c>
      <c r="T41" s="40">
        <v>0.6025422661506182</v>
      </c>
      <c r="U41" s="40">
        <v>0.6375285881191229</v>
      </c>
      <c r="V41" s="40">
        <v>0.648890831493486</v>
      </c>
      <c r="W41" s="40">
        <v>0.648218924225397</v>
      </c>
      <c r="X41" s="31">
        <v>0.6318829052641908</v>
      </c>
      <c r="Y41" s="31">
        <v>0.5890816508723836</v>
      </c>
      <c r="Z41" s="31">
        <v>0.6625640114137054</v>
      </c>
      <c r="AA41" s="31">
        <v>0.8334574006274146</v>
      </c>
      <c r="AB41" s="31">
        <v>0.8119214071024584</v>
      </c>
      <c r="AC41" s="31">
        <v>0.7881626433070278</v>
      </c>
      <c r="AD41" s="31">
        <v>0.7971465078188716</v>
      </c>
      <c r="AE41" s="31">
        <v>0.7558611334209505</v>
      </c>
      <c r="AF41" s="31">
        <v>0.6995530491580408</v>
      </c>
      <c r="AG41" s="31">
        <v>0.6717276291285356</v>
      </c>
      <c r="AH41" s="31">
        <v>0.6547036729140807</v>
      </c>
      <c r="AI41" s="31">
        <v>0.5793582267492756</v>
      </c>
      <c r="AJ41" s="31">
        <v>0.63721635038653</v>
      </c>
      <c r="AK41" s="31">
        <v>0.6228837504336886</v>
      </c>
      <c r="AL41" s="31">
        <v>0.5987083887122031</v>
      </c>
      <c r="AM41" s="31">
        <v>0.6787843990848716</v>
      </c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 t="str">
        <f t="shared" ref="F42:G42" si="35">J42</f>
        <v/>
      </c>
      <c r="G42" s="55">
        <f t="shared" si="35"/>
        <v>0.1832644388</v>
      </c>
      <c r="H42" s="32">
        <f t="shared" si="34"/>
        <v>-1</v>
      </c>
      <c r="I42" s="30"/>
      <c r="J42" s="40"/>
      <c r="K42" s="40">
        <v>0.1832644388115584</v>
      </c>
      <c r="L42" s="40">
        <v>0.14114969927360285</v>
      </c>
      <c r="M42" s="40">
        <v>0.12080399052382089</v>
      </c>
      <c r="N42" s="40">
        <v>0.1076761193498773</v>
      </c>
      <c r="O42" s="40">
        <v>0.14143933942454384</v>
      </c>
      <c r="P42" s="40">
        <v>0.15920806902419546</v>
      </c>
      <c r="Q42" s="40">
        <v>0.20378895593307772</v>
      </c>
      <c r="R42" s="40">
        <v>0.07999083555202326</v>
      </c>
      <c r="S42" s="40">
        <v>0.11428577801960908</v>
      </c>
      <c r="T42" s="40">
        <v>0.1663954053244129</v>
      </c>
      <c r="U42" s="40">
        <v>0.16101927829203952</v>
      </c>
      <c r="V42" s="40">
        <v>0.1494123325105516</v>
      </c>
      <c r="W42" s="40">
        <v>0.1406580474594633</v>
      </c>
      <c r="X42" s="31">
        <v>0.15482131944391872</v>
      </c>
      <c r="Y42" s="31">
        <v>0.15402508288401676</v>
      </c>
      <c r="Z42" s="31">
        <v>0.11754722079908124</v>
      </c>
      <c r="AA42" s="31">
        <v>0.04041811975395518</v>
      </c>
      <c r="AB42" s="31">
        <v>0.03976234284559687</v>
      </c>
      <c r="AC42" s="31">
        <v>0.04075515468570459</v>
      </c>
      <c r="AD42" s="31">
        <v>0.03531430049092314</v>
      </c>
      <c r="AE42" s="31">
        <v>0.03995002706642612</v>
      </c>
      <c r="AF42" s="31">
        <v>0.048044729216490785</v>
      </c>
      <c r="AG42" s="31">
        <v>0.05283643172140365</v>
      </c>
      <c r="AH42" s="31">
        <v>0.06466280824691864</v>
      </c>
      <c r="AI42" s="31">
        <v>0.05962673256693832</v>
      </c>
      <c r="AJ42" s="31">
        <v>0.0586741608236749</v>
      </c>
      <c r="AK42" s="31">
        <v>0.07003982129631407</v>
      </c>
      <c r="AL42" s="31">
        <v>0.08283265038308599</v>
      </c>
      <c r="AM42" s="31">
        <v>0.07522205887874434</v>
      </c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 t="str">
        <f t="shared" ref="F43:G43" si="36">J43</f>
        <v/>
      </c>
      <c r="G43" s="55">
        <f t="shared" si="36"/>
        <v>0.1311572525</v>
      </c>
      <c r="H43" s="32">
        <f t="shared" si="34"/>
        <v>-1</v>
      </c>
      <c r="I43" s="30"/>
      <c r="J43" s="40"/>
      <c r="K43" s="40">
        <v>0.13115725253899085</v>
      </c>
      <c r="L43" s="40">
        <v>0.20045494261285215</v>
      </c>
      <c r="M43" s="40">
        <v>0.20423061606405032</v>
      </c>
      <c r="N43" s="40">
        <v>0.1835698061154367</v>
      </c>
      <c r="O43" s="40">
        <v>0.19480973505529178</v>
      </c>
      <c r="P43" s="40">
        <v>0.20565722957243956</v>
      </c>
      <c r="Q43" s="40">
        <v>0.2809703486258461</v>
      </c>
      <c r="R43" s="40">
        <v>0.11020836886360207</v>
      </c>
      <c r="S43" s="40">
        <v>0.11728940441672915</v>
      </c>
      <c r="T43" s="40">
        <v>0.19662796896941695</v>
      </c>
      <c r="U43" s="40">
        <v>0.1767405734221137</v>
      </c>
      <c r="V43" s="40">
        <v>0.18697306683095063</v>
      </c>
      <c r="W43" s="40">
        <v>0.1827540220315146</v>
      </c>
      <c r="X43" s="31">
        <v>0.17997574222873716</v>
      </c>
      <c r="Y43" s="31">
        <v>0.16451007188196543</v>
      </c>
      <c r="Z43" s="31">
        <v>0.14578087319726207</v>
      </c>
      <c r="AA43" s="31">
        <v>0.0998686882577645</v>
      </c>
      <c r="AB43" s="31">
        <v>0.11470284336358869</v>
      </c>
      <c r="AC43" s="31">
        <v>0.12866214158623399</v>
      </c>
      <c r="AD43" s="31">
        <v>0.1319899297453277</v>
      </c>
      <c r="AE43" s="31">
        <v>0.1659730534312428</v>
      </c>
      <c r="AF43" s="31">
        <v>0.19663384539852657</v>
      </c>
      <c r="AG43" s="31">
        <v>0.22576761905758191</v>
      </c>
      <c r="AH43" s="31">
        <v>0.20679057295812728</v>
      </c>
      <c r="AI43" s="31">
        <v>0.1984329739174301</v>
      </c>
      <c r="AJ43" s="31">
        <v>0.18741776070070126</v>
      </c>
      <c r="AK43" s="31">
        <v>0.21802934982560848</v>
      </c>
      <c r="AL43" s="31">
        <v>0.22357171983748472</v>
      </c>
      <c r="AM43" s="31">
        <v>0.17342292827997838</v>
      </c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 t="str">
        <f t="shared" ref="F44:G44" si="37">J44</f>
        <v/>
      </c>
      <c r="G44" s="55">
        <f t="shared" si="37"/>
        <v>0.1083975735</v>
      </c>
      <c r="H44" s="32">
        <f t="shared" si="34"/>
        <v>-1</v>
      </c>
      <c r="I44" s="30"/>
      <c r="J44" s="40"/>
      <c r="K44" s="40">
        <v>0.10839757347801217</v>
      </c>
      <c r="L44" s="40">
        <v>0.10176760395510706</v>
      </c>
      <c r="M44" s="40">
        <v>0.07144565135452305</v>
      </c>
      <c r="N44" s="40">
        <v>0.034014787735439866</v>
      </c>
      <c r="O44" s="40">
        <v>0.044349698333964224</v>
      </c>
      <c r="P44" s="40">
        <v>0.054077960968076356</v>
      </c>
      <c r="Q44" s="40">
        <v>0.04595115224755503</v>
      </c>
      <c r="R44" s="40">
        <v>0.014613470807539327</v>
      </c>
      <c r="S44" s="40">
        <v>0.020266661208383028</v>
      </c>
      <c r="T44" s="40">
        <v>0.03376440546274832</v>
      </c>
      <c r="U44" s="40">
        <v>0.02427251841698506</v>
      </c>
      <c r="V44" s="40">
        <v>0.014423184684433214</v>
      </c>
      <c r="W44" s="40">
        <v>0.028115044634746077</v>
      </c>
      <c r="X44" s="31">
        <v>0.03309672078125168</v>
      </c>
      <c r="Y44" s="31">
        <v>0.09238319436163407</v>
      </c>
      <c r="Z44" s="31">
        <v>0.07410789458995136</v>
      </c>
      <c r="AA44" s="31">
        <v>0.026255791360865904</v>
      </c>
      <c r="AB44" s="31">
        <v>0.03361340668835587</v>
      </c>
      <c r="AC44" s="31">
        <v>0.04242006042103365</v>
      </c>
      <c r="AD44" s="31">
        <v>0.03554926194487757</v>
      </c>
      <c r="AE44" s="31">
        <v>0.03821578608138048</v>
      </c>
      <c r="AF44" s="31">
        <v>0.055758839997047456</v>
      </c>
      <c r="AG44" s="31">
        <v>0.04957285789851225</v>
      </c>
      <c r="AH44" s="31">
        <v>0.07375661779178781</v>
      </c>
      <c r="AI44" s="31">
        <v>0.16249646158937134</v>
      </c>
      <c r="AJ44" s="31">
        <v>0.11659919354583542</v>
      </c>
      <c r="AK44" s="31">
        <v>0.08894514751230823</v>
      </c>
      <c r="AL44" s="31">
        <v>0.0948852809088224</v>
      </c>
      <c r="AM44" s="31">
        <v>0.07257061375640574</v>
      </c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 t="str">
        <f t="shared" ref="F45:G45" si="38">J45</f>
        <v/>
      </c>
      <c r="G45" s="55">
        <f t="shared" si="38"/>
        <v>0</v>
      </c>
      <c r="H45" s="32" t="str">
        <f t="shared" si="34"/>
        <v>-</v>
      </c>
      <c r="I45" s="30"/>
      <c r="J45" s="40"/>
      <c r="K45" s="40">
        <v>0.0</v>
      </c>
      <c r="L45" s="40">
        <v>0.0</v>
      </c>
      <c r="M45" s="40">
        <v>0.0</v>
      </c>
      <c r="N45" s="40">
        <v>0.0</v>
      </c>
      <c r="O45" s="40">
        <v>0.0</v>
      </c>
      <c r="P45" s="40">
        <v>0.0</v>
      </c>
      <c r="Q45" s="40">
        <v>0.0</v>
      </c>
      <c r="R45" s="40">
        <v>0.0</v>
      </c>
      <c r="S45" s="40">
        <v>0.0</v>
      </c>
      <c r="T45" s="40">
        <v>0.0</v>
      </c>
      <c r="U45" s="40">
        <v>0.0</v>
      </c>
      <c r="V45" s="40">
        <v>0.0</v>
      </c>
      <c r="W45" s="40">
        <v>0.0</v>
      </c>
      <c r="X45" s="31">
        <v>0.0</v>
      </c>
      <c r="Y45" s="31">
        <v>0.0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0.0</v>
      </c>
      <c r="AG45" s="31">
        <v>0.0</v>
      </c>
      <c r="AH45" s="31">
        <v>0.0</v>
      </c>
      <c r="AI45" s="31">
        <v>0.0</v>
      </c>
      <c r="AJ45" s="31">
        <v>0.0</v>
      </c>
      <c r="AK45" s="31">
        <v>0.0</v>
      </c>
      <c r="AL45" s="31">
        <v>0.0</v>
      </c>
      <c r="AM45" s="31">
        <v>0.0</v>
      </c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 t="str">
        <f t="shared" ref="F46:G46" si="39">J46</f>
        <v/>
      </c>
      <c r="G46" s="55">
        <f t="shared" si="39"/>
        <v>0</v>
      </c>
      <c r="H46" s="32" t="str">
        <f t="shared" si="34"/>
        <v>-</v>
      </c>
      <c r="I46" s="30"/>
      <c r="J46" s="40"/>
      <c r="K46" s="40">
        <v>0.0</v>
      </c>
      <c r="L46" s="40">
        <v>0.0</v>
      </c>
      <c r="M46" s="40">
        <v>0.0</v>
      </c>
      <c r="N46" s="40">
        <v>0.0</v>
      </c>
      <c r="O46" s="40">
        <v>0.0</v>
      </c>
      <c r="P46" s="40">
        <v>0.0</v>
      </c>
      <c r="Q46" s="40">
        <v>0.0</v>
      </c>
      <c r="R46" s="40">
        <v>0.0</v>
      </c>
      <c r="S46" s="40">
        <v>0.0</v>
      </c>
      <c r="T46" s="40">
        <v>0.0</v>
      </c>
      <c r="U46" s="40">
        <v>0.0</v>
      </c>
      <c r="V46" s="40">
        <v>0.0</v>
      </c>
      <c r="W46" s="40">
        <v>0.0</v>
      </c>
      <c r="X46" s="31">
        <v>0.0</v>
      </c>
      <c r="Y46" s="31">
        <v>0.0</v>
      </c>
      <c r="Z46" s="31">
        <v>0.0</v>
      </c>
      <c r="AA46" s="31">
        <v>0.0</v>
      </c>
      <c r="AB46" s="31">
        <v>0.0</v>
      </c>
      <c r="AC46" s="31">
        <v>0.0</v>
      </c>
      <c r="AD46" s="31">
        <v>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 t="str">
        <f t="shared" ref="F47:G47" si="40">J47</f>
        <v/>
      </c>
      <c r="G47" s="55">
        <f t="shared" si="40"/>
        <v>0</v>
      </c>
      <c r="H47" s="32" t="str">
        <f t="shared" si="34"/>
        <v>-</v>
      </c>
      <c r="I47" s="30"/>
      <c r="J47" s="40"/>
      <c r="K47" s="40">
        <v>0.0</v>
      </c>
      <c r="L47" s="40">
        <v>0.0</v>
      </c>
      <c r="M47" s="40">
        <v>0.0</v>
      </c>
      <c r="N47" s="40">
        <v>0.0</v>
      </c>
      <c r="O47" s="40">
        <v>0.0</v>
      </c>
      <c r="P47" s="40">
        <v>0.0</v>
      </c>
      <c r="Q47" s="40">
        <v>0.0</v>
      </c>
      <c r="R47" s="40">
        <v>0.0</v>
      </c>
      <c r="S47" s="40">
        <v>0.0</v>
      </c>
      <c r="T47" s="40">
        <v>0.0</v>
      </c>
      <c r="U47" s="40">
        <v>0.0</v>
      </c>
      <c r="V47" s="40">
        <v>0.0</v>
      </c>
      <c r="W47" s="40">
        <v>0.0</v>
      </c>
      <c r="X47" s="31">
        <v>0.0</v>
      </c>
      <c r="Y47" s="31">
        <v>0.0</v>
      </c>
      <c r="Z47" s="31">
        <v>0.0</v>
      </c>
      <c r="AA47" s="31">
        <v>0.0</v>
      </c>
      <c r="AB47" s="31">
        <v>0.0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 t="str">
        <f t="shared" ref="F48:G48" si="41">J48</f>
        <v/>
      </c>
      <c r="G48" s="55">
        <f t="shared" si="41"/>
        <v>-0.5460108081</v>
      </c>
      <c r="H48" s="32">
        <f t="shared" si="34"/>
        <v>-1</v>
      </c>
      <c r="I48" s="30"/>
      <c r="J48" s="40"/>
      <c r="K48" s="40">
        <v>-0.5460108081490459</v>
      </c>
      <c r="L48" s="40">
        <v>0.0020065468078597592</v>
      </c>
      <c r="M48" s="40">
        <v>0.0038942787962428283</v>
      </c>
      <c r="N48" s="40">
        <v>5.307552078143859E-4</v>
      </c>
      <c r="O48" s="40">
        <v>1.1864889775840705E-4</v>
      </c>
      <c r="P48" s="40">
        <v>9.560081968372852E-4</v>
      </c>
      <c r="Q48" s="40">
        <v>0.004473608655652411</v>
      </c>
      <c r="R48" s="40">
        <v>0.0017002480721220556</v>
      </c>
      <c r="S48" s="40">
        <v>0.0020653506080267952</v>
      </c>
      <c r="T48" s="40">
        <v>6.699540928035812E-4</v>
      </c>
      <c r="U48" s="40">
        <v>4.3904174973876325E-4</v>
      </c>
      <c r="V48" s="40">
        <v>3.0058448057847085E-4</v>
      </c>
      <c r="W48" s="40">
        <v>2.5396164887904075E-4</v>
      </c>
      <c r="X48" s="31">
        <v>2.2331228190167608E-4</v>
      </c>
      <c r="Y48" s="31">
        <v>9.882393702114107E-17</v>
      </c>
      <c r="Z48" s="31">
        <v>-3.164619344221771E-17</v>
      </c>
      <c r="AA48" s="31">
        <v>-1.4433054672255842E-16</v>
      </c>
      <c r="AB48" s="31">
        <v>1.3230167825562328E-16</v>
      </c>
      <c r="AC48" s="31">
        <v>-6.5019338193077315E-18</v>
      </c>
      <c r="AD48" s="31">
        <v>-9.584669819083866E-17</v>
      </c>
      <c r="AE48" s="31">
        <v>2.879964847462554E-17</v>
      </c>
      <c r="AF48" s="31">
        <v>9.536229894341455E-6</v>
      </c>
      <c r="AG48" s="31">
        <v>9.546219396662635E-5</v>
      </c>
      <c r="AH48" s="31">
        <v>8.632808908557441E-5</v>
      </c>
      <c r="AI48" s="31">
        <v>8.560517698467056E-5</v>
      </c>
      <c r="AJ48" s="31">
        <v>9.253454325841066E-5</v>
      </c>
      <c r="AK48" s="31">
        <v>1.0193093208068508E-4</v>
      </c>
      <c r="AL48" s="31">
        <v>1.9601584037571046E-6</v>
      </c>
      <c r="AM48" s="31">
        <v>-5.97593801683862E-17</v>
      </c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 t="str">
        <f t="shared" ref="F51:G51" si="42">J51</f>
        <v/>
      </c>
      <c r="G51" s="55">
        <f t="shared" si="42"/>
        <v>1</v>
      </c>
      <c r="H51" s="32">
        <f t="shared" ref="H51:H57" si="44">IFERROR(F51/G51-1,"-")</f>
        <v>-1</v>
      </c>
      <c r="J51" s="58"/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  <c r="AD51" s="59">
        <v>1.0</v>
      </c>
    </row>
    <row r="52">
      <c r="C52" s="60" t="s">
        <v>44</v>
      </c>
      <c r="D52" s="39" t="s">
        <v>10</v>
      </c>
      <c r="F52" s="55" t="str">
        <f t="shared" ref="F52:G52" si="43">J52</f>
        <v/>
      </c>
      <c r="G52" s="55">
        <f t="shared" si="43"/>
        <v>0</v>
      </c>
      <c r="H52" s="32" t="str">
        <f t="shared" si="44"/>
        <v>-</v>
      </c>
      <c r="J52" s="58"/>
      <c r="K52" s="58">
        <v>0.0</v>
      </c>
      <c r="L52" s="58">
        <v>0.0</v>
      </c>
      <c r="M52" s="58">
        <v>0.0</v>
      </c>
      <c r="N52" s="58">
        <v>0.0</v>
      </c>
      <c r="O52" s="58">
        <v>0.0</v>
      </c>
      <c r="P52" s="58">
        <v>0.0</v>
      </c>
      <c r="Q52" s="58">
        <v>0.0</v>
      </c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31">
        <v>0.0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  <c r="AD52" s="59">
        <v>0.0</v>
      </c>
    </row>
    <row r="53">
      <c r="C53" s="60" t="s">
        <v>45</v>
      </c>
      <c r="D53" s="39" t="s">
        <v>10</v>
      </c>
      <c r="F53" s="55" t="str">
        <f t="shared" ref="F53:G53" si="45">J53</f>
        <v/>
      </c>
      <c r="G53" s="55">
        <f t="shared" si="45"/>
        <v>0</v>
      </c>
      <c r="H53" s="32" t="str">
        <f t="shared" si="44"/>
        <v>-</v>
      </c>
      <c r="J53" s="58"/>
      <c r="K53" s="58">
        <v>0.0</v>
      </c>
      <c r="L53" s="58">
        <v>0.0</v>
      </c>
      <c r="M53" s="58">
        <v>0.0</v>
      </c>
      <c r="N53" s="58">
        <v>0.0</v>
      </c>
      <c r="O53" s="58">
        <v>0.0</v>
      </c>
      <c r="P53" s="58">
        <v>0.0</v>
      </c>
      <c r="Q53" s="58">
        <v>0.0</v>
      </c>
      <c r="R53" s="58">
        <v>0.0</v>
      </c>
      <c r="S53" s="58">
        <v>0.0</v>
      </c>
      <c r="T53" s="58">
        <v>0.0</v>
      </c>
      <c r="U53" s="58">
        <v>0.0</v>
      </c>
      <c r="V53" s="58">
        <v>0.0</v>
      </c>
      <c r="W53" s="58">
        <v>0.0</v>
      </c>
      <c r="X53" s="31">
        <v>0.0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  <c r="AD53" s="59">
        <v>0.0</v>
      </c>
    </row>
    <row r="54">
      <c r="C54" s="60" t="s">
        <v>46</v>
      </c>
      <c r="D54" s="39" t="s">
        <v>10</v>
      </c>
      <c r="F54" s="55" t="str">
        <f t="shared" ref="F54:G54" si="46">J54</f>
        <v/>
      </c>
      <c r="G54" s="55">
        <f t="shared" si="46"/>
        <v>0</v>
      </c>
      <c r="H54" s="32" t="str">
        <f t="shared" si="44"/>
        <v>-</v>
      </c>
      <c r="J54" s="58"/>
      <c r="K54" s="58">
        <v>0.0</v>
      </c>
      <c r="L54" s="58">
        <v>0.0</v>
      </c>
      <c r="M54" s="58">
        <v>0.0</v>
      </c>
      <c r="N54" s="58">
        <v>0.0</v>
      </c>
      <c r="O54" s="58">
        <v>0.0</v>
      </c>
      <c r="P54" s="58">
        <v>0.0</v>
      </c>
      <c r="Q54" s="58">
        <v>0.0</v>
      </c>
      <c r="R54" s="58">
        <v>0.0</v>
      </c>
      <c r="S54" s="58">
        <v>0.0</v>
      </c>
      <c r="T54" s="58">
        <v>0.0</v>
      </c>
      <c r="U54" s="58">
        <v>0.0</v>
      </c>
      <c r="V54" s="58">
        <v>0.0</v>
      </c>
      <c r="W54" s="58">
        <v>0.0</v>
      </c>
      <c r="X54" s="31">
        <v>0.0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  <c r="AD54" s="59">
        <v>0.0</v>
      </c>
    </row>
    <row r="55">
      <c r="C55" s="60" t="s">
        <v>47</v>
      </c>
      <c r="D55" s="39" t="s">
        <v>10</v>
      </c>
      <c r="F55" s="55" t="str">
        <f t="shared" ref="F55:G55" si="47">J55</f>
        <v/>
      </c>
      <c r="G55" s="55">
        <f t="shared" si="47"/>
        <v>0</v>
      </c>
      <c r="H55" s="32" t="str">
        <f t="shared" si="44"/>
        <v>-</v>
      </c>
      <c r="J55" s="58"/>
      <c r="K55" s="58">
        <v>0.0</v>
      </c>
      <c r="L55" s="58">
        <v>0.0</v>
      </c>
      <c r="M55" s="58">
        <v>0.0</v>
      </c>
      <c r="N55" s="58">
        <v>0.0</v>
      </c>
      <c r="O55" s="58">
        <v>0.0</v>
      </c>
      <c r="P55" s="58">
        <v>0.0</v>
      </c>
      <c r="Q55" s="58">
        <v>0.0</v>
      </c>
      <c r="R55" s="58">
        <v>0.0</v>
      </c>
      <c r="S55" s="58">
        <v>0.0</v>
      </c>
      <c r="T55" s="58">
        <v>0.0</v>
      </c>
      <c r="U55" s="58">
        <v>0.0</v>
      </c>
      <c r="V55" s="58">
        <v>0.0</v>
      </c>
      <c r="W55" s="58">
        <v>0.0</v>
      </c>
      <c r="X55" s="31">
        <v>0.0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  <c r="AD55" s="59">
        <v>0.0</v>
      </c>
    </row>
    <row r="56">
      <c r="C56" s="60" t="s">
        <v>48</v>
      </c>
      <c r="D56" s="39" t="s">
        <v>10</v>
      </c>
      <c r="F56" s="55" t="str">
        <f t="shared" ref="F56:G56" si="48">J56</f>
        <v/>
      </c>
      <c r="G56" s="55">
        <f t="shared" si="48"/>
        <v>0</v>
      </c>
      <c r="H56" s="32" t="str">
        <f t="shared" si="44"/>
        <v>-</v>
      </c>
      <c r="J56" s="58"/>
      <c r="K56" s="58">
        <v>0.0</v>
      </c>
      <c r="L56" s="58">
        <v>0.0</v>
      </c>
      <c r="M56" s="58">
        <v>0.0</v>
      </c>
      <c r="N56" s="58">
        <v>0.0</v>
      </c>
      <c r="O56" s="58">
        <v>0.0</v>
      </c>
      <c r="P56" s="58">
        <v>0.0</v>
      </c>
      <c r="Q56" s="58">
        <v>0.0</v>
      </c>
      <c r="R56" s="58">
        <v>0.0</v>
      </c>
      <c r="S56" s="58">
        <v>0.0</v>
      </c>
      <c r="T56" s="58">
        <v>0.0</v>
      </c>
      <c r="U56" s="58">
        <v>0.0</v>
      </c>
      <c r="V56" s="58">
        <v>0.0</v>
      </c>
      <c r="W56" s="58">
        <v>0.0</v>
      </c>
      <c r="X56" s="31">
        <v>0.0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  <c r="AD56" s="59">
        <v>0.0</v>
      </c>
    </row>
    <row r="57">
      <c r="C57" s="60" t="s">
        <v>49</v>
      </c>
      <c r="D57" s="39" t="s">
        <v>10</v>
      </c>
      <c r="F57" s="55" t="str">
        <f t="shared" ref="F57:G57" si="49">J57</f>
        <v/>
      </c>
      <c r="G57" s="55">
        <f t="shared" si="49"/>
        <v>1</v>
      </c>
      <c r="H57" s="32">
        <f t="shared" si="44"/>
        <v>-1</v>
      </c>
      <c r="J57" s="58"/>
      <c r="K57" s="58">
        <v>1.0</v>
      </c>
      <c r="L57" s="58">
        <v>1.0</v>
      </c>
      <c r="M57" s="58">
        <v>1.0</v>
      </c>
      <c r="N57" s="58">
        <v>1.0</v>
      </c>
      <c r="O57" s="58">
        <v>1.0</v>
      </c>
      <c r="P57" s="58">
        <v>1.0</v>
      </c>
      <c r="Q57" s="58">
        <v>1.0</v>
      </c>
      <c r="R57" s="58">
        <v>1.0</v>
      </c>
      <c r="S57" s="58">
        <v>1.0</v>
      </c>
      <c r="T57" s="58">
        <v>1.0</v>
      </c>
      <c r="U57" s="58">
        <v>1.0</v>
      </c>
      <c r="V57" s="58">
        <v>1.0</v>
      </c>
      <c r="W57" s="58">
        <v>1.0</v>
      </c>
      <c r="X57" s="31">
        <v>1.0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  <c r="AD57" s="59">
        <v>1.0</v>
      </c>
    </row>
    <row r="58">
      <c r="D58" s="3"/>
      <c r="F58" s="4"/>
      <c r="G58" s="4"/>
      <c r="H58" s="5"/>
    </row>
    <row r="59">
      <c r="D59" s="3"/>
      <c r="F59" s="4"/>
      <c r="G59" s="4"/>
      <c r="H59" s="5"/>
    </row>
    <row r="60">
      <c r="C60" s="28" t="s">
        <v>37</v>
      </c>
      <c r="D60" s="79"/>
      <c r="E60" s="80"/>
      <c r="F60" s="92" t="str">
        <f t="shared" ref="F60:G60" si="50">F3</f>
        <v>MTD Average Daily</v>
      </c>
      <c r="G60" s="92" t="str">
        <f t="shared" si="50"/>
        <v>M-1 Average Daily</v>
      </c>
      <c r="H60" s="82" t="s">
        <v>58</v>
      </c>
    </row>
    <row r="61">
      <c r="C61" s="38" t="s">
        <v>59</v>
      </c>
      <c r="D61" s="85"/>
      <c r="E61" s="86"/>
      <c r="F61" s="87">
        <f t="shared" ref="F61:G61" si="51">F$14*F52</f>
        <v>0</v>
      </c>
      <c r="G61" s="87">
        <f t="shared" si="51"/>
        <v>0</v>
      </c>
      <c r="H61" s="88" t="str">
        <f t="shared" ref="H61:H66" si="53">F61/G61-1</f>
        <v>#DIV/0!</v>
      </c>
    </row>
    <row r="62">
      <c r="C62" s="38" t="s">
        <v>60</v>
      </c>
      <c r="D62" s="85"/>
      <c r="E62" s="86"/>
      <c r="F62" s="87">
        <f t="shared" ref="F62:G62" si="52">F$14*F53</f>
        <v>0</v>
      </c>
      <c r="G62" s="87">
        <f t="shared" si="52"/>
        <v>0</v>
      </c>
      <c r="H62" s="88" t="str">
        <f t="shared" si="53"/>
        <v>#DIV/0!</v>
      </c>
    </row>
    <row r="63">
      <c r="C63" s="38" t="s">
        <v>61</v>
      </c>
      <c r="D63" s="85"/>
      <c r="E63" s="86"/>
      <c r="F63" s="87">
        <f t="shared" ref="F63:G63" si="54">F$14*F54</f>
        <v>0</v>
      </c>
      <c r="G63" s="87">
        <f t="shared" si="54"/>
        <v>0</v>
      </c>
      <c r="H63" s="88" t="str">
        <f t="shared" si="53"/>
        <v>#DIV/0!</v>
      </c>
    </row>
    <row r="64">
      <c r="C64" s="38" t="s">
        <v>62</v>
      </c>
      <c r="D64" s="85"/>
      <c r="E64" s="86"/>
      <c r="F64" s="87">
        <f t="shared" ref="F64:G64" si="55">F$14*F55</f>
        <v>0</v>
      </c>
      <c r="G64" s="87">
        <f t="shared" si="55"/>
        <v>0</v>
      </c>
      <c r="H64" s="88" t="str">
        <f t="shared" si="53"/>
        <v>#DIV/0!</v>
      </c>
    </row>
    <row r="65">
      <c r="C65" s="38" t="s">
        <v>63</v>
      </c>
      <c r="D65" s="85"/>
      <c r="E65" s="86"/>
      <c r="F65" s="87">
        <f t="shared" ref="F65:G65" si="56">F$14*F56</f>
        <v>0</v>
      </c>
      <c r="G65" s="87">
        <f t="shared" si="56"/>
        <v>0</v>
      </c>
      <c r="H65" s="88" t="str">
        <f t="shared" si="53"/>
        <v>#DIV/0!</v>
      </c>
    </row>
    <row r="66">
      <c r="C66" s="38" t="s">
        <v>64</v>
      </c>
      <c r="D66" s="85"/>
      <c r="E66" s="86"/>
      <c r="F66" s="87">
        <f t="shared" ref="F66:G66" si="57">F$14*F57</f>
        <v>0</v>
      </c>
      <c r="G66" s="87">
        <f t="shared" si="57"/>
        <v>19.05701164</v>
      </c>
      <c r="H66" s="88">
        <f t="shared" si="53"/>
        <v>-1</v>
      </c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2"/>
    </customSheetView>
  </customSheetViews>
  <mergeCells count="1">
    <mergeCell ref="C1:C2"/>
  </mergeCells>
  <conditionalFormatting sqref="H6 H8:H12 H14:H16 H18:H19 H21:H22 H2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75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</row>
    <row r="3" ht="44.25" customHeight="1">
      <c r="C3" s="2" t="s">
        <v>2</v>
      </c>
      <c r="D3" s="3"/>
      <c r="E3" s="10"/>
      <c r="F3" s="91" t="s">
        <v>73</v>
      </c>
      <c r="G3" s="91" t="s">
        <v>74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1">J6</f>
        <v>14096.22222</v>
      </c>
      <c r="G6" s="31">
        <f t="shared" si="1"/>
        <v>22912.26667</v>
      </c>
      <c r="H6" s="32">
        <f>IFERROR(F6/G6-1,"-")</f>
        <v>-0.3847739978</v>
      </c>
      <c r="I6" s="30"/>
      <c r="J6" s="31">
        <v>14096.222222222223</v>
      </c>
      <c r="K6" s="31">
        <v>22912.266666666666</v>
      </c>
      <c r="L6" s="31">
        <v>61418.67741935484</v>
      </c>
      <c r="M6" s="31">
        <v>64410.4</v>
      </c>
      <c r="N6" s="31">
        <v>69945.64516129032</v>
      </c>
      <c r="O6" s="31">
        <v>69572.3870967742</v>
      </c>
      <c r="P6" s="31">
        <v>78119.23333333334</v>
      </c>
      <c r="Q6" s="31">
        <v>84416.2258064516</v>
      </c>
      <c r="R6" s="31">
        <v>88905.5</v>
      </c>
      <c r="S6" s="31">
        <v>84714.32258064517</v>
      </c>
      <c r="T6" s="31">
        <v>89818.25</v>
      </c>
      <c r="U6" s="31">
        <v>87100.93548387097</v>
      </c>
      <c r="V6" s="31">
        <v>93045.7741935484</v>
      </c>
      <c r="W6" s="31">
        <v>96102.83333333333</v>
      </c>
      <c r="X6" s="31">
        <v>98933.67741935483</v>
      </c>
      <c r="Y6" s="31">
        <v>102969.86666666667</v>
      </c>
      <c r="Z6" s="31">
        <v>108834.54838709677</v>
      </c>
      <c r="AA6" s="31">
        <v>120397.25806451614</v>
      </c>
      <c r="AB6" s="31">
        <v>138950.7</v>
      </c>
      <c r="AC6" s="31">
        <v>135283.35483870967</v>
      </c>
      <c r="AD6" s="31">
        <v>145698.8</v>
      </c>
      <c r="AE6" s="31">
        <v>143328.67741935485</v>
      </c>
      <c r="AF6" s="31">
        <v>144140.3448275862</v>
      </c>
      <c r="AG6" s="31">
        <v>148885.2258064516</v>
      </c>
      <c r="AH6" s="31">
        <v>133587.06451612903</v>
      </c>
      <c r="AI6" s="31">
        <v>144800.16666666666</v>
      </c>
      <c r="AJ6" s="31">
        <v>146120.83870967742</v>
      </c>
      <c r="AK6" s="31">
        <v>141964.63333333333</v>
      </c>
      <c r="AL6" s="31">
        <v>140131.32258064515</v>
      </c>
      <c r="AM6" s="31">
        <v>149872.5806451613</v>
      </c>
      <c r="AN6" s="31">
        <v>153795.96666666667</v>
      </c>
      <c r="AO6" s="31">
        <v>145875.67741935485</v>
      </c>
      <c r="AP6" s="31">
        <v>149520.16666666666</v>
      </c>
      <c r="AQ6" s="31">
        <v>146827.5806451613</v>
      </c>
      <c r="AR6" s="31">
        <v>139438.7857142857</v>
      </c>
      <c r="AS6" s="31">
        <v>132646.90322580645</v>
      </c>
      <c r="AT6" s="31">
        <v>121767.67741935483</v>
      </c>
      <c r="AU6" s="31">
        <v>127318.0</v>
      </c>
      <c r="AV6" s="31">
        <v>123059.09677419355</v>
      </c>
      <c r="AW6" s="31">
        <v>116175.43333333333</v>
      </c>
      <c r="AX6" s="31">
        <v>131288.7741935484</v>
      </c>
      <c r="AY6" s="33">
        <v>127045.7741935484</v>
      </c>
      <c r="AZ6" s="33">
        <v>110335.23333333334</v>
      </c>
      <c r="BA6" s="33">
        <v>109045.67741935483</v>
      </c>
      <c r="BB6" s="33">
        <v>100938.16666666667</v>
      </c>
      <c r="BC6" s="33">
        <v>103130.70967741935</v>
      </c>
      <c r="BD6" s="33">
        <v>98728.64285714286</v>
      </c>
      <c r="BE6" s="33">
        <v>100236.83870967742</v>
      </c>
    </row>
    <row r="7">
      <c r="D7" s="3"/>
      <c r="F7" s="4"/>
      <c r="G7" s="4"/>
      <c r="H7" s="5"/>
    </row>
    <row r="8">
      <c r="A8" s="26"/>
      <c r="B8" s="27" t="s">
        <v>7</v>
      </c>
      <c r="C8" s="28" t="s">
        <v>8</v>
      </c>
      <c r="D8" s="29" t="s">
        <v>6</v>
      </c>
      <c r="E8" s="30"/>
      <c r="F8" s="31" t="str">
        <f t="shared" ref="F8:G8" si="2">J8</f>
        <v/>
      </c>
      <c r="G8" s="31" t="str">
        <f t="shared" si="2"/>
        <v/>
      </c>
      <c r="H8" s="32" t="str">
        <f t="shared" ref="H8:H12" si="4">IFERROR(F8/G8-1,"-")</f>
        <v>-</v>
      </c>
      <c r="I8" s="30"/>
      <c r="J8" s="31"/>
      <c r="K8" s="31"/>
      <c r="L8" s="31">
        <v>2820.2580645161293</v>
      </c>
      <c r="M8" s="31">
        <v>2983.6</v>
      </c>
      <c r="N8" s="31">
        <v>2943.7096774193546</v>
      </c>
      <c r="O8" s="31">
        <v>2756.7741935483873</v>
      </c>
      <c r="P8" s="31">
        <v>2991.7</v>
      </c>
      <c r="Q8" s="31">
        <v>3507.0967741935483</v>
      </c>
      <c r="R8" s="31">
        <v>3571.633333333333</v>
      </c>
      <c r="S8" s="31">
        <v>3490.6129032258063</v>
      </c>
      <c r="T8" s="31">
        <v>3478.035714285714</v>
      </c>
      <c r="U8" s="31">
        <v>3474.032258064516</v>
      </c>
      <c r="V8" s="31">
        <v>4130.096774193548</v>
      </c>
      <c r="W8" s="31">
        <v>4231.766666666666</v>
      </c>
      <c r="X8" s="31">
        <v>3843.3870967741937</v>
      </c>
      <c r="Y8" s="31">
        <v>3921.8333333333335</v>
      </c>
      <c r="Z8" s="31">
        <v>4100.0</v>
      </c>
      <c r="AA8" s="31">
        <v>4743.8387096774195</v>
      </c>
      <c r="AB8" s="31">
        <v>5038.366666666667</v>
      </c>
      <c r="AC8" s="31">
        <v>5109.1612903225805</v>
      </c>
      <c r="AD8" s="31">
        <v>5776.2</v>
      </c>
      <c r="AE8" s="31">
        <v>6073.645161290323</v>
      </c>
      <c r="AF8" s="31">
        <v>5738.724137931034</v>
      </c>
      <c r="AG8" s="31">
        <v>5602.903225806452</v>
      </c>
      <c r="AH8" s="31">
        <v>5658.387096774193</v>
      </c>
      <c r="AI8" s="31">
        <v>6395.9</v>
      </c>
      <c r="AJ8" s="36">
        <v>6241.580645161291</v>
      </c>
      <c r="AK8" s="36">
        <v>6356.933333333333</v>
      </c>
      <c r="AL8" s="36">
        <v>6220.548387096775</v>
      </c>
      <c r="AM8" s="36">
        <v>6872.774193548387</v>
      </c>
      <c r="AN8" s="36">
        <v>6988.166666666667</v>
      </c>
      <c r="AO8" s="36">
        <v>7141.8387096774195</v>
      </c>
      <c r="AP8" s="36">
        <v>7647.533333333334</v>
      </c>
      <c r="AQ8" s="36">
        <v>7633.096774193548</v>
      </c>
      <c r="AR8" s="36">
        <v>7193.892857142857</v>
      </c>
      <c r="AS8" s="36">
        <v>6885.870967741936</v>
      </c>
      <c r="AT8" s="36">
        <v>6477.870967741936</v>
      </c>
      <c r="AU8" s="36">
        <v>7185.2</v>
      </c>
      <c r="AV8" s="36">
        <v>6836.0</v>
      </c>
      <c r="AW8" s="36">
        <v>6512.166666666667</v>
      </c>
      <c r="AX8" s="36">
        <v>7946.258064516129</v>
      </c>
      <c r="AY8" s="37">
        <v>8677.451612903225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 t="str">
        <f t="shared" ref="F9:G9" si="3">J9</f>
        <v/>
      </c>
      <c r="G9" s="40" t="str">
        <f t="shared" si="3"/>
        <v/>
      </c>
      <c r="H9" s="32" t="str">
        <f t="shared" si="4"/>
        <v>-</v>
      </c>
      <c r="I9" s="30"/>
      <c r="J9" s="40"/>
      <c r="K9" s="40"/>
      <c r="L9" s="40">
        <v>0.045918573681747545</v>
      </c>
      <c r="M9" s="40">
        <v>0.0463217120216611</v>
      </c>
      <c r="N9" s="40">
        <v>0.042085674821232155</v>
      </c>
      <c r="O9" s="40">
        <v>0.03962454514768558</v>
      </c>
      <c r="P9" s="40">
        <v>0.0382965867987269</v>
      </c>
      <c r="Q9" s="40">
        <v>0.041545292278697375</v>
      </c>
      <c r="R9" s="40">
        <v>0.04017336760192939</v>
      </c>
      <c r="S9" s="40">
        <v>0.0412045188687292</v>
      </c>
      <c r="T9" s="40">
        <v>0.03872304029844396</v>
      </c>
      <c r="U9" s="40">
        <v>0.039885131414091696</v>
      </c>
      <c r="V9" s="40">
        <v>0.04438779525443425</v>
      </c>
      <c r="W9" s="40">
        <v>0.04403373469738145</v>
      </c>
      <c r="X9" s="40">
        <v>0.03884811721374763</v>
      </c>
      <c r="Y9" s="40">
        <v>0.03808719444135113</v>
      </c>
      <c r="Z9" s="40">
        <v>0.03767186119445586</v>
      </c>
      <c r="AA9" s="40">
        <v>0.03940155104807606</v>
      </c>
      <c r="AB9" s="40">
        <v>0.03626010280384817</v>
      </c>
      <c r="AC9" s="40">
        <v>0.03776637041869586</v>
      </c>
      <c r="AD9" s="40">
        <v>0.039644801467136316</v>
      </c>
      <c r="AE9" s="40">
        <v>0.04237564506033842</v>
      </c>
      <c r="AF9" s="40">
        <v>0.03981344810015143</v>
      </c>
      <c r="AG9" s="40">
        <v>0.03763236543758973</v>
      </c>
      <c r="AH9" s="40">
        <v>0.042357297970949954</v>
      </c>
      <c r="AI9" s="40">
        <v>0.04417052926964863</v>
      </c>
      <c r="AJ9" s="36">
        <v>0.042715198600539635</v>
      </c>
      <c r="AK9" s="36">
        <v>0.04477828867706253</v>
      </c>
      <c r="AL9" s="36">
        <v>0.04439084904459435</v>
      </c>
      <c r="AM9" s="36">
        <v>0.04585744880059405</v>
      </c>
      <c r="AN9" s="36">
        <v>0.04543790593554794</v>
      </c>
      <c r="AO9" s="36">
        <v>0.04895839276308195</v>
      </c>
      <c r="AP9" s="36">
        <v>0.05114716966830562</v>
      </c>
      <c r="AQ9" s="36">
        <v>0.0519868047995729</v>
      </c>
      <c r="AR9" s="36">
        <v>0.05159176351322623</v>
      </c>
      <c r="AS9" s="36">
        <v>0.0519112832662217</v>
      </c>
      <c r="AT9" s="36">
        <v>0.053198608243408</v>
      </c>
      <c r="AU9" s="36">
        <v>0.05643506809720542</v>
      </c>
      <c r="AV9" s="36">
        <v>0.0555505458693856</v>
      </c>
      <c r="AW9" s="36">
        <v>0.05605459329755029</v>
      </c>
      <c r="AX9" s="36">
        <v>0.06052503813312785</v>
      </c>
      <c r="AY9" s="37">
        <v>0.06830177286875773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 t="str">
        <f t="shared" ref="F10:G10" si="5">J10</f>
        <v/>
      </c>
      <c r="G10" s="31" t="str">
        <f t="shared" si="5"/>
        <v/>
      </c>
      <c r="H10" s="32" t="str">
        <f t="shared" si="4"/>
        <v>-</v>
      </c>
      <c r="I10" s="30"/>
      <c r="J10" s="31"/>
      <c r="K10" s="31"/>
      <c r="L10" s="31">
        <v>4493.5161290322585</v>
      </c>
      <c r="M10" s="31">
        <v>4608.3</v>
      </c>
      <c r="N10" s="31">
        <v>4479.419354838709</v>
      </c>
      <c r="O10" s="31">
        <v>4205.193548387097</v>
      </c>
      <c r="P10" s="31">
        <v>4672.866666666667</v>
      </c>
      <c r="Q10" s="31">
        <v>5583.580645161291</v>
      </c>
      <c r="R10" s="31">
        <v>5670.866666666667</v>
      </c>
      <c r="S10" s="31">
        <v>5604.129032258064</v>
      </c>
      <c r="T10" s="31">
        <v>5593.464285714285</v>
      </c>
      <c r="U10" s="31">
        <v>5622.8387096774195</v>
      </c>
      <c r="V10" s="31">
        <v>6966.774193548387</v>
      </c>
      <c r="W10" s="31">
        <v>7232.6</v>
      </c>
      <c r="X10" s="31">
        <v>6283.4838709677415</v>
      </c>
      <c r="Y10" s="31">
        <v>6393.333333333333</v>
      </c>
      <c r="Z10" s="31">
        <v>6775.387096774193</v>
      </c>
      <c r="AA10" s="31">
        <v>8012.419354838709</v>
      </c>
      <c r="AB10" s="31">
        <v>8728.666666666666</v>
      </c>
      <c r="AC10" s="31">
        <v>8904.838709677419</v>
      </c>
      <c r="AD10" s="31">
        <v>10253.866666666667</v>
      </c>
      <c r="AE10" s="31">
        <v>10764.709677419354</v>
      </c>
      <c r="AF10" s="31">
        <v>10265.413793103447</v>
      </c>
      <c r="AG10" s="31">
        <v>10353.41935483871</v>
      </c>
      <c r="AH10" s="31">
        <v>10678.838709677419</v>
      </c>
      <c r="AI10" s="31">
        <v>12151.566666666668</v>
      </c>
      <c r="AJ10" s="36">
        <v>11423.258064516129</v>
      </c>
      <c r="AK10" s="36">
        <v>11855.033333333333</v>
      </c>
      <c r="AL10" s="36">
        <v>11613.193548387097</v>
      </c>
      <c r="AM10" s="36">
        <v>13203.258064516129</v>
      </c>
      <c r="AN10" s="36">
        <v>13593.533333333333</v>
      </c>
      <c r="AO10" s="36">
        <v>14065.516129032258</v>
      </c>
      <c r="AP10" s="36">
        <v>15157.2</v>
      </c>
      <c r="AQ10" s="36">
        <v>15077.193548387097</v>
      </c>
      <c r="AR10" s="36">
        <v>14296.32142857143</v>
      </c>
      <c r="AS10" s="36">
        <v>13738.516129032258</v>
      </c>
      <c r="AT10" s="36">
        <v>12490.709677419354</v>
      </c>
      <c r="AU10" s="36">
        <v>14645.499999999998</v>
      </c>
      <c r="AV10" s="36">
        <v>13506.870967741936</v>
      </c>
      <c r="AW10" s="36">
        <v>12361.866666666667</v>
      </c>
      <c r="AX10" s="36">
        <v>15422.90322580645</v>
      </c>
      <c r="AY10" s="37">
        <v>17500.09677419355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 t="str">
        <f t="shared" ref="F11:G11" si="6">J11</f>
        <v/>
      </c>
      <c r="G11" s="41" t="str">
        <f t="shared" si="6"/>
        <v/>
      </c>
      <c r="H11" s="32" t="str">
        <f t="shared" si="4"/>
        <v>-</v>
      </c>
      <c r="I11" s="30"/>
      <c r="J11" s="41"/>
      <c r="K11" s="41"/>
      <c r="L11" s="41">
        <v>0.07316204643013395</v>
      </c>
      <c r="M11" s="41">
        <v>0.07154589941996944</v>
      </c>
      <c r="N11" s="41">
        <v>0.06404143309436129</v>
      </c>
      <c r="O11" s="41">
        <v>0.06044342768543693</v>
      </c>
      <c r="P11" s="41">
        <v>0.05981710863351193</v>
      </c>
      <c r="Q11" s="41">
        <v>0.06614345277604865</v>
      </c>
      <c r="R11" s="41">
        <v>0.06378533011643449</v>
      </c>
      <c r="S11" s="41">
        <v>0.06615326501517052</v>
      </c>
      <c r="T11" s="41">
        <v>0.062275364814102764</v>
      </c>
      <c r="U11" s="41">
        <v>0.06455543420332881</v>
      </c>
      <c r="V11" s="41">
        <v>0.07487469746940371</v>
      </c>
      <c r="W11" s="41">
        <v>0.07525896739083308</v>
      </c>
      <c r="X11" s="41">
        <v>0.06351208238559296</v>
      </c>
      <c r="Y11" s="41">
        <v>0.062089362065795295</v>
      </c>
      <c r="Z11" s="41">
        <v>0.062254010304484075</v>
      </c>
      <c r="AA11" s="41">
        <v>0.06654984908830042</v>
      </c>
      <c r="AB11" s="41">
        <v>0.06281844328000266</v>
      </c>
      <c r="AC11" s="41">
        <v>0.0658236094181293</v>
      </c>
      <c r="AD11" s="41">
        <v>0.07037715249999772</v>
      </c>
      <c r="AE11" s="41">
        <v>0.07510506530332155</v>
      </c>
      <c r="AF11" s="41">
        <v>0.0712181853413938</v>
      </c>
      <c r="AG11" s="41">
        <v>0.06953960205761442</v>
      </c>
      <c r="AH11" s="41">
        <v>0.07993916737640475</v>
      </c>
      <c r="AI11" s="41">
        <v>0.08391956270768566</v>
      </c>
      <c r="AJ11" s="31">
        <v>0.07817678960365548</v>
      </c>
      <c r="AK11" s="31">
        <v>0.08350694856160185</v>
      </c>
      <c r="AL11" s="31">
        <v>0.08287364548139292</v>
      </c>
      <c r="AM11" s="31">
        <v>0.0880965551382357</v>
      </c>
      <c r="AN11" s="31">
        <v>0.0883867999139119</v>
      </c>
      <c r="AO11" s="31">
        <v>0.09642125663346561</v>
      </c>
      <c r="AP11" s="31">
        <v>0.10137227865583351</v>
      </c>
      <c r="AQ11" s="31">
        <v>0.10268638550153734</v>
      </c>
      <c r="AR11" s="31">
        <v>0.10252758122739984</v>
      </c>
      <c r="AS11" s="31">
        <v>0.10357208344053848</v>
      </c>
      <c r="AT11" s="31">
        <v>0.10257820418470075</v>
      </c>
      <c r="AU11" s="31">
        <v>0.11503086759138534</v>
      </c>
      <c r="AV11" s="31">
        <v>0.10975922399728219</v>
      </c>
      <c r="AW11" s="31">
        <v>0.10640689095772686</v>
      </c>
      <c r="AX11" s="31">
        <v>0.11747312990423472</v>
      </c>
      <c r="AY11" s="33">
        <v>0.13774639011237758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 t="str">
        <f t="shared" ref="F12:G12" si="7">J12</f>
        <v/>
      </c>
      <c r="G12" s="31" t="str">
        <f t="shared" si="7"/>
        <v/>
      </c>
      <c r="H12" s="32" t="str">
        <f t="shared" si="4"/>
        <v>-</v>
      </c>
      <c r="I12" s="30"/>
      <c r="J12" s="31"/>
      <c r="K12" s="31"/>
      <c r="L12" s="31">
        <v>90501.67918391761</v>
      </c>
      <c r="M12" s="31">
        <v>84568.18017355779</v>
      </c>
      <c r="N12" s="31">
        <v>83552.89320819666</v>
      </c>
      <c r="O12" s="31">
        <v>81206.45434750499</v>
      </c>
      <c r="P12" s="31">
        <v>91565.15046180035</v>
      </c>
      <c r="Q12" s="31">
        <v>114446.53216745936</v>
      </c>
      <c r="R12" s="31">
        <v>117786.65305219959</v>
      </c>
      <c r="S12" s="31">
        <v>110644.00010367202</v>
      </c>
      <c r="T12" s="31">
        <v>103747.63758762414</v>
      </c>
      <c r="U12" s="31">
        <v>99016.21906188529</v>
      </c>
      <c r="V12" s="31">
        <v>122711.93494626445</v>
      </c>
      <c r="W12" s="31">
        <v>130862.19004813432</v>
      </c>
      <c r="X12" s="31">
        <v>121794.87746267185</v>
      </c>
      <c r="Y12" s="31">
        <v>113343.37379967947</v>
      </c>
      <c r="Z12" s="31">
        <v>116156.66548783785</v>
      </c>
      <c r="AA12" s="31">
        <v>118516.76801442709</v>
      </c>
      <c r="AB12" s="31">
        <v>132779.38066029592</v>
      </c>
      <c r="AC12" s="31">
        <v>135412.16620128966</v>
      </c>
      <c r="AD12" s="31">
        <v>141939.72934718148</v>
      </c>
      <c r="AE12" s="31">
        <v>145393.9710812492</v>
      </c>
      <c r="AF12" s="31">
        <v>139881.61770243756</v>
      </c>
      <c r="AG12" s="31">
        <v>143077.79720142038</v>
      </c>
      <c r="AH12" s="31">
        <v>158966.43218164693</v>
      </c>
      <c r="AI12" s="31">
        <v>178509.3564712931</v>
      </c>
      <c r="AJ12" s="31">
        <v>154334.33863083948</v>
      </c>
      <c r="AK12" s="31">
        <v>160955.52358263684</v>
      </c>
      <c r="AL12" s="31">
        <v>169722.87096190552</v>
      </c>
      <c r="AM12" s="31">
        <v>198571.20695990618</v>
      </c>
      <c r="AN12" s="31">
        <v>220430.28111151687</v>
      </c>
      <c r="AO12" s="31">
        <v>244046.0866432157</v>
      </c>
      <c r="AP12" s="31">
        <v>266686.5092949302</v>
      </c>
      <c r="AQ12" s="31">
        <v>243079.80106032582</v>
      </c>
      <c r="AR12" s="31">
        <v>235445.42519573797</v>
      </c>
      <c r="AS12" s="31">
        <v>208163.58350322436</v>
      </c>
      <c r="AT12" s="31">
        <v>200077.49332009544</v>
      </c>
      <c r="AU12" s="31">
        <v>219720.80949349486</v>
      </c>
      <c r="AV12" s="31">
        <v>184877.76146277276</v>
      </c>
      <c r="AW12" s="31">
        <v>184167.78524473766</v>
      </c>
      <c r="AX12" s="31">
        <v>211830.13289816026</v>
      </c>
      <c r="AY12" s="33">
        <v>194657.31346660404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 t="str">
        <f t="shared" ref="F14:G14" si="8">J14</f>
        <v/>
      </c>
      <c r="G14" s="31">
        <f t="shared" si="8"/>
        <v>87.42615469</v>
      </c>
      <c r="H14" s="32">
        <f t="shared" ref="H14:H16" si="10">IFERROR(F14/G14-1,"-")</f>
        <v>-1</v>
      </c>
      <c r="I14" s="30"/>
      <c r="J14" s="31"/>
      <c r="K14" s="31">
        <v>87.42615468888889</v>
      </c>
      <c r="L14" s="31">
        <v>502.67458910967724</v>
      </c>
      <c r="M14" s="31">
        <v>569.2047887666862</v>
      </c>
      <c r="N14" s="31">
        <v>583.6481942265959</v>
      </c>
      <c r="O14" s="31">
        <v>434.91627161086507</v>
      </c>
      <c r="P14" s="31">
        <v>415.2808786053569</v>
      </c>
      <c r="Q14" s="31">
        <v>368.24453336774667</v>
      </c>
      <c r="R14" s="31">
        <v>876.8487213153259</v>
      </c>
      <c r="S14" s="31">
        <v>1022.7349945468743</v>
      </c>
      <c r="T14" s="31">
        <v>584.5298121001517</v>
      </c>
      <c r="U14" s="31">
        <v>855.5503542477568</v>
      </c>
      <c r="V14" s="31">
        <v>899.9226689898532</v>
      </c>
      <c r="W14" s="31">
        <v>937.1048080966812</v>
      </c>
      <c r="X14" s="36">
        <v>1021.8030284687826</v>
      </c>
      <c r="Y14" s="36">
        <v>1016.8011499472731</v>
      </c>
      <c r="Z14" s="36">
        <v>1063.278365616717</v>
      </c>
      <c r="AA14" s="36">
        <v>2287.348176597482</v>
      </c>
      <c r="AB14" s="36">
        <v>1890.8493824212464</v>
      </c>
      <c r="AC14" s="36">
        <v>1373.1287505917912</v>
      </c>
      <c r="AD14" s="36">
        <v>1474.7502761482833</v>
      </c>
      <c r="AE14" s="36">
        <v>1520.4737573643154</v>
      </c>
      <c r="AF14" s="36">
        <v>1426.84565062784</v>
      </c>
      <c r="AG14" s="36">
        <v>1559.8119540713856</v>
      </c>
      <c r="AH14" s="36">
        <v>1350.2998222014644</v>
      </c>
      <c r="AI14" s="36">
        <v>1329.8327098993682</v>
      </c>
      <c r="AJ14" s="36">
        <v>1245.1375750249535</v>
      </c>
      <c r="AK14" s="36">
        <v>1347.1805335985568</v>
      </c>
      <c r="AL14" s="36">
        <v>1321.6342888431134</v>
      </c>
      <c r="AM14" s="36">
        <v>1509.955118631197</v>
      </c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 t="str">
        <f t="shared" ref="F15:G15" si="9">J15</f>
        <v/>
      </c>
      <c r="G15" s="40" t="str">
        <f t="shared" si="9"/>
        <v/>
      </c>
      <c r="H15" s="32" t="str">
        <f t="shared" si="10"/>
        <v>-</v>
      </c>
      <c r="I15" s="30"/>
      <c r="J15" s="40"/>
      <c r="K15" s="40"/>
      <c r="L15" s="40">
        <v>0.005554312291688438</v>
      </c>
      <c r="M15" s="40">
        <v>0.006730720557052513</v>
      </c>
      <c r="N15" s="40">
        <v>0.006985373837052709</v>
      </c>
      <c r="O15" s="40">
        <v>0.00535568601172682</v>
      </c>
      <c r="P15" s="40">
        <v>0.00453535953920161</v>
      </c>
      <c r="Q15" s="40">
        <v>0.003217611983462526</v>
      </c>
      <c r="R15" s="40">
        <v>0.007444380993886737</v>
      </c>
      <c r="S15" s="40">
        <v>0.00924347450913366</v>
      </c>
      <c r="T15" s="40">
        <v>0.005634150576262174</v>
      </c>
      <c r="U15" s="40">
        <v>0.008640507205319933</v>
      </c>
      <c r="V15" s="40">
        <v>0.007333619744354363</v>
      </c>
      <c r="W15" s="40">
        <v>0.007161005082919605</v>
      </c>
      <c r="X15" s="36">
        <v>0.008389540264383849</v>
      </c>
      <c r="Y15" s="36">
        <v>0.008970980092266748</v>
      </c>
      <c r="Z15" s="36">
        <v>0.00915382996878511</v>
      </c>
      <c r="AA15" s="36">
        <v>0.019299785295520736</v>
      </c>
      <c r="AB15" s="36">
        <v>0.014240534735275007</v>
      </c>
      <c r="AC15" s="36">
        <v>0.01014036470364591</v>
      </c>
      <c r="AD15" s="36">
        <v>0.010389975258731657</v>
      </c>
      <c r="AE15" s="36">
        <v>0.010457612142078729</v>
      </c>
      <c r="AF15" s="36">
        <v>0.010200379964600423</v>
      </c>
      <c r="AG15" s="36">
        <v>0.01090184490243117</v>
      </c>
      <c r="AH15" s="36">
        <v>0.008494245002985982</v>
      </c>
      <c r="AI15" s="36">
        <v>0.007449652702732277</v>
      </c>
      <c r="AJ15" s="36">
        <v>0.00806779350642934</v>
      </c>
      <c r="AK15" s="36">
        <v>0.0083698931457105</v>
      </c>
      <c r="AL15" s="36">
        <v>0.007787013508272292</v>
      </c>
      <c r="AM15" s="36">
        <v>0.0076040990118777605</v>
      </c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 t="str">
        <f t="shared" ref="F16:G16" si="11">J16</f>
        <v/>
      </c>
      <c r="G16" s="36">
        <f t="shared" si="11"/>
        <v>0</v>
      </c>
      <c r="H16" s="32" t="str">
        <f t="shared" si="10"/>
        <v>-</v>
      </c>
      <c r="I16" s="30"/>
      <c r="J16" s="36"/>
      <c r="K16" s="36">
        <v>0.0</v>
      </c>
      <c r="L16" s="36">
        <v>18.281335196911705</v>
      </c>
      <c r="M16" s="36">
        <v>15.153546314421817</v>
      </c>
      <c r="N16" s="36">
        <v>10.415498124423584</v>
      </c>
      <c r="O16" s="36">
        <v>13.076432089909536</v>
      </c>
      <c r="P16" s="36">
        <v>16.196951879144947</v>
      </c>
      <c r="Q16" s="36">
        <v>21.701608197188172</v>
      </c>
      <c r="R16" s="36">
        <v>8.40131030274284</v>
      </c>
      <c r="S16" s="36">
        <v>8.948758258280566</v>
      </c>
      <c r="T16" s="36">
        <v>15.126649234993604</v>
      </c>
      <c r="U16" s="36">
        <v>12.46803413408968</v>
      </c>
      <c r="V16" s="36">
        <v>16.14487178478703</v>
      </c>
      <c r="W16" s="36">
        <v>16.77647950154511</v>
      </c>
      <c r="X16" s="31">
        <v>14.923600937168239</v>
      </c>
      <c r="Y16" s="31">
        <v>14.744557766098877</v>
      </c>
      <c r="Z16" s="31">
        <v>10.880142406455274</v>
      </c>
      <c r="AA16" s="31">
        <v>5.879477941882335</v>
      </c>
      <c r="AB16" s="31">
        <v>6.112640920892981</v>
      </c>
      <c r="AC16" s="31">
        <v>6.694491853242882</v>
      </c>
      <c r="AD16" s="31">
        <v>6.899340629660799</v>
      </c>
      <c r="AE16" s="31">
        <v>6.88118353233211</v>
      </c>
      <c r="AF16" s="31">
        <v>7.039157725017999</v>
      </c>
      <c r="AG16" s="31">
        <v>5.651567079098862</v>
      </c>
      <c r="AH16" s="31">
        <v>6.5324990981552205</v>
      </c>
      <c r="AI16" s="31">
        <v>6.720018880306166</v>
      </c>
      <c r="AJ16" s="31">
        <v>5.900582426951872</v>
      </c>
      <c r="AK16" s="31">
        <v>7.217019326374304</v>
      </c>
      <c r="AL16" s="31">
        <v>8.272862204811197</v>
      </c>
      <c r="AM16" s="31">
        <v>8.739740950336513</v>
      </c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 t="str">
        <f t="shared" ref="F18:G18" si="12">J18</f>
        <v/>
      </c>
      <c r="G18" s="31">
        <f t="shared" si="12"/>
        <v>87.37557724</v>
      </c>
      <c r="H18" s="32">
        <f t="shared" ref="H18:H19" si="14">IFERROR(F18/G18-1,"-")</f>
        <v>-1</v>
      </c>
      <c r="I18" s="30"/>
      <c r="J18" s="31"/>
      <c r="K18" s="31">
        <v>87.3755772444444</v>
      </c>
      <c r="L18" s="31">
        <v>499.245877216128</v>
      </c>
      <c r="M18" s="31">
        <v>567.531662149206</v>
      </c>
      <c r="N18" s="31">
        <v>536.171324001876</v>
      </c>
      <c r="O18" s="31">
        <v>416.565080709499</v>
      </c>
      <c r="P18" s="31">
        <v>407.481249648273</v>
      </c>
      <c r="Q18" s="31">
        <v>355.206765854162</v>
      </c>
      <c r="R18" s="31">
        <v>822.609403140321</v>
      </c>
      <c r="S18" s="31">
        <v>988.853900995681</v>
      </c>
      <c r="T18" s="31">
        <v>564.538638185949</v>
      </c>
      <c r="U18" s="31">
        <v>833.122595183465</v>
      </c>
      <c r="V18" s="31">
        <v>857.500179536086</v>
      </c>
      <c r="W18" s="31">
        <v>904.914183639553</v>
      </c>
      <c r="X18" s="36">
        <v>991.036567505476</v>
      </c>
      <c r="Y18" s="36">
        <v>952.418456974431</v>
      </c>
      <c r="Z18" s="36">
        <v>950.25900801374</v>
      </c>
      <c r="AA18" s="36">
        <v>2229.08934607277</v>
      </c>
      <c r="AB18" s="36">
        <v>1857.17973754506</v>
      </c>
      <c r="AC18" s="36">
        <v>1334.17773528617</v>
      </c>
      <c r="AD18" s="36">
        <v>1455.1981443292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 t="str">
        <f t="shared" ref="F19:G19" si="13">J19</f>
        <v/>
      </c>
      <c r="G19" s="40" t="str">
        <f t="shared" si="13"/>
        <v/>
      </c>
      <c r="H19" s="32" t="str">
        <f t="shared" si="14"/>
        <v>-</v>
      </c>
      <c r="I19" s="30"/>
      <c r="J19" s="58"/>
      <c r="K19" s="58"/>
      <c r="L19" s="58">
        <v>0.00551642667537207</v>
      </c>
      <c r="M19" s="58">
        <v>0.00671093620537265</v>
      </c>
      <c r="N19" s="58">
        <v>0.00641714850814139</v>
      </c>
      <c r="O19" s="58">
        <v>0.00512970408641291</v>
      </c>
      <c r="P19" s="58">
        <v>0.0044501783439789</v>
      </c>
      <c r="Q19" s="58">
        <v>0.0031036918212115</v>
      </c>
      <c r="R19" s="58">
        <v>0.00698389318164737</v>
      </c>
      <c r="S19" s="58">
        <v>0.0089372573304394</v>
      </c>
      <c r="T19" s="58">
        <v>0.00544146017502467</v>
      </c>
      <c r="U19" s="58">
        <v>0.00841400129268481</v>
      </c>
      <c r="V19" s="58">
        <v>0.00698791181079155</v>
      </c>
      <c r="W19" s="58">
        <v>0.00691501634892938</v>
      </c>
      <c r="X19" s="36">
        <v>0.00813693143875622</v>
      </c>
      <c r="Y19" s="36">
        <v>0.00840294783052527</v>
      </c>
      <c r="Z19" s="36">
        <v>0.00818083924863732</v>
      </c>
      <c r="AA19" s="36">
        <v>0.0188082191525964</v>
      </c>
      <c r="AB19" s="36">
        <v>0.0139869588810366</v>
      </c>
      <c r="AC19" s="36">
        <v>0.00985271687702658</v>
      </c>
      <c r="AD19" s="36">
        <v>0.0102522257230026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 t="str">
        <f t="shared" ref="F21:G21" si="15">J21</f>
        <v/>
      </c>
      <c r="G21" s="31">
        <f t="shared" si="15"/>
        <v>85.58805067</v>
      </c>
      <c r="H21" s="32">
        <f t="shared" ref="H21:H22" si="17">IFERROR(F21/G21-1,"-")</f>
        <v>-1</v>
      </c>
      <c r="I21" s="30"/>
      <c r="J21" s="31"/>
      <c r="K21" s="31">
        <v>85.5880506666666</v>
      </c>
      <c r="L21" s="31">
        <v>393.609591341935</v>
      </c>
      <c r="M21" s="31">
        <v>430.057486157406</v>
      </c>
      <c r="N21" s="31">
        <v>375.114875536941</v>
      </c>
      <c r="O21" s="31">
        <v>305.538509394033</v>
      </c>
      <c r="P21" s="31">
        <v>252.387360004018</v>
      </c>
      <c r="Q21" s="31">
        <v>260.796849083434</v>
      </c>
      <c r="R21" s="31">
        <v>577.469596708535</v>
      </c>
      <c r="S21" s="31">
        <v>786.697775773295</v>
      </c>
      <c r="T21" s="31">
        <v>448.514723188513</v>
      </c>
      <c r="U21" s="31">
        <v>625.394030251779</v>
      </c>
      <c r="V21" s="31">
        <v>614.005544223714</v>
      </c>
      <c r="W21" s="31">
        <v>689.549421924128</v>
      </c>
      <c r="X21" s="36">
        <v>753.702014958396</v>
      </c>
      <c r="Y21" s="36">
        <v>667.871031902778</v>
      </c>
      <c r="Z21" s="36">
        <v>583.864691653175</v>
      </c>
      <c r="AA21" s="36">
        <v>538.923582440495</v>
      </c>
      <c r="AB21" s="36">
        <v>642.958976272646</v>
      </c>
      <c r="AC21" s="36">
        <v>616.048697429855</v>
      </c>
      <c r="AD21" s="36">
        <v>660.273307935589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26"/>
      <c r="B22" s="27"/>
      <c r="C22" s="28" t="s">
        <v>21</v>
      </c>
      <c r="D22" s="39" t="s">
        <v>10</v>
      </c>
      <c r="E22" s="30"/>
      <c r="F22" s="40" t="str">
        <f t="shared" ref="F22:G22" si="16">J22</f>
        <v/>
      </c>
      <c r="G22" s="40" t="str">
        <f t="shared" si="16"/>
        <v/>
      </c>
      <c r="H22" s="32" t="str">
        <f t="shared" si="17"/>
        <v>-</v>
      </c>
      <c r="I22" s="30"/>
      <c r="J22" s="58"/>
      <c r="K22" s="58"/>
      <c r="L22" s="58">
        <v>0.00434919655514945</v>
      </c>
      <c r="M22" s="58">
        <v>0.00508533452268698</v>
      </c>
      <c r="N22" s="58">
        <v>0.00448954980651875</v>
      </c>
      <c r="O22" s="58">
        <v>0.00376249045533436</v>
      </c>
      <c r="P22" s="58">
        <v>0.00275636919429637</v>
      </c>
      <c r="Q22" s="58">
        <v>0.00227876584938225</v>
      </c>
      <c r="R22" s="58">
        <v>0.00490267429920619</v>
      </c>
      <c r="S22" s="58">
        <v>0.00711017113477612</v>
      </c>
      <c r="T22" s="58">
        <v>0.00432313191526604</v>
      </c>
      <c r="U22" s="58">
        <v>0.00631607666074289</v>
      </c>
      <c r="V22" s="58">
        <v>0.00500363346476923</v>
      </c>
      <c r="W22" s="58">
        <v>0.00526927924460453</v>
      </c>
      <c r="X22" s="36">
        <v>0.00618828994010354</v>
      </c>
      <c r="Y22" s="36">
        <v>0.00589245766658718</v>
      </c>
      <c r="Z22" s="36">
        <v>0.00502652765728978</v>
      </c>
      <c r="AA22" s="36">
        <v>0.00454723488894746</v>
      </c>
      <c r="AB22" s="36">
        <v>0.0048423104029804</v>
      </c>
      <c r="AC22" s="36">
        <v>0.00454943388553508</v>
      </c>
      <c r="AD22" s="36">
        <v>0.00465178643761236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7"/>
      <c r="AZ22" s="37"/>
      <c r="BA22" s="37"/>
      <c r="BB22" s="37"/>
      <c r="BC22" s="37"/>
      <c r="BD22" s="37"/>
      <c r="BE22" s="37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 t="str">
        <f t="shared" ref="F24:G24" si="18">J24</f>
        <v/>
      </c>
      <c r="G24" s="31" t="str">
        <f t="shared" si="18"/>
        <v/>
      </c>
      <c r="H24" s="32" t="str">
        <f t="shared" ref="H24:H26" si="20">IFERROR(F24/G24-1,"-")</f>
        <v>-</v>
      </c>
      <c r="I24" s="30"/>
      <c r="J24" s="31"/>
      <c r="K24" s="31"/>
      <c r="L24" s="31">
        <v>13402.8182976911</v>
      </c>
      <c r="M24" s="31">
        <v>13308.6698696422</v>
      </c>
      <c r="N24" s="31">
        <v>13387.2645286136</v>
      </c>
      <c r="O24" s="31">
        <v>12772.6140815653</v>
      </c>
      <c r="P24" s="31">
        <v>14400.6750951159</v>
      </c>
      <c r="Q24" s="31">
        <v>18052.9024149202</v>
      </c>
      <c r="R24" s="31">
        <v>18184.5105294265</v>
      </c>
      <c r="S24" s="31">
        <v>17148.333774858</v>
      </c>
      <c r="T24" s="31">
        <v>16002.0220828297</v>
      </c>
      <c r="U24" s="31">
        <v>15235.4943917734</v>
      </c>
      <c r="V24" s="31">
        <v>18873.6707491921</v>
      </c>
      <c r="W24" s="31">
        <v>20483.4864982546</v>
      </c>
      <c r="X24" s="31">
        <v>18329.3134362617</v>
      </c>
      <c r="Y24" s="31">
        <v>17690.2658536063</v>
      </c>
      <c r="Z24" s="31">
        <v>17717.9689016133</v>
      </c>
      <c r="AA24" s="31">
        <v>18277.9694646106</v>
      </c>
      <c r="AB24" s="31">
        <v>20313.6333158978</v>
      </c>
      <c r="AC24" s="31">
        <v>19831.4740268394</v>
      </c>
      <c r="AD24" s="31">
        <v>13111.1227873248</v>
      </c>
      <c r="AE24" s="31">
        <v>13275.5392732873</v>
      </c>
      <c r="AF24" s="31">
        <v>12636.9614353384</v>
      </c>
      <c r="AG24" s="31">
        <v>12955.3310077156</v>
      </c>
      <c r="AH24" s="31">
        <v>14324.2032807052</v>
      </c>
      <c r="AI24" s="31">
        <v>16033.7560599434</v>
      </c>
      <c r="AJ24" s="31">
        <v>13729.3096100752</v>
      </c>
      <c r="AK24" s="31">
        <v>14115.4237128933</v>
      </c>
      <c r="AL24" s="36">
        <v>14806.9171607132</v>
      </c>
      <c r="AM24" s="36">
        <v>17303.3939773982</v>
      </c>
      <c r="AN24" s="36">
        <v>19508.7497825707</v>
      </c>
      <c r="AO24" s="36">
        <v>21518.9241923239</v>
      </c>
      <c r="AP24" s="36">
        <v>23456.3474744411</v>
      </c>
      <c r="AQ24" s="36">
        <v>21232.8144711344</v>
      </c>
      <c r="AR24" s="36">
        <v>20313.6763592872</v>
      </c>
      <c r="AS24" s="36">
        <v>17966.7146049907</v>
      </c>
      <c r="AT24" s="36">
        <v>16384.3235408997</v>
      </c>
      <c r="AU24" s="36">
        <v>18212.921724677</v>
      </c>
      <c r="AV24" s="36">
        <v>9026.0926001307</v>
      </c>
      <c r="AW24" s="36">
        <v>8450.6957445893</v>
      </c>
      <c r="AX24" s="36">
        <v>8787.7701815503</v>
      </c>
      <c r="AY24" s="37">
        <v>8699.4154301642</v>
      </c>
      <c r="AZ24" s="37">
        <v>8199.3388401165</v>
      </c>
      <c r="BA24" s="37">
        <v>8619.7077624446</v>
      </c>
      <c r="BB24" s="37">
        <v>9031.8894751542</v>
      </c>
      <c r="BC24" s="37">
        <v>8863.1892370561</v>
      </c>
      <c r="BD24" s="37">
        <v>8382.9054935392</v>
      </c>
      <c r="BE24" s="37">
        <v>8261.7762903452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 t="str">
        <f t="shared" ref="F25:G25" si="19">J25</f>
        <v/>
      </c>
      <c r="G25" s="40" t="str">
        <f t="shared" si="19"/>
        <v/>
      </c>
      <c r="H25" s="50" t="str">
        <f t="shared" si="20"/>
        <v>-</v>
      </c>
      <c r="I25" s="49"/>
      <c r="J25" s="40"/>
      <c r="K25" s="40"/>
      <c r="L25" s="40">
        <v>0.14809469192780253</v>
      </c>
      <c r="M25" s="40">
        <v>0.1573720735426617</v>
      </c>
      <c r="N25" s="40">
        <v>0.1602250265021378</v>
      </c>
      <c r="O25" s="40">
        <v>0.1572857008004282</v>
      </c>
      <c r="P25" s="40">
        <v>0.15727244505674298</v>
      </c>
      <c r="Q25" s="40">
        <v>0.15774092996111938</v>
      </c>
      <c r="R25" s="40">
        <v>0.1543851536503687</v>
      </c>
      <c r="S25" s="40">
        <v>0.1549865673582863</v>
      </c>
      <c r="T25" s="40">
        <v>0.15423986950367488</v>
      </c>
      <c r="U25" s="40">
        <v>0.15386867460825981</v>
      </c>
      <c r="V25" s="40">
        <v>0.15380468702947991</v>
      </c>
      <c r="W25" s="40">
        <v>0.15652715647445814</v>
      </c>
      <c r="X25" s="40">
        <v>0.15049330331548086</v>
      </c>
      <c r="Y25" s="40">
        <v>0.15607675385481004</v>
      </c>
      <c r="Z25" s="40">
        <v>0.1525351027183925</v>
      </c>
      <c r="AA25" s="40">
        <v>0.15422264520734835</v>
      </c>
      <c r="AB25" s="40">
        <v>0.15298786012467103</v>
      </c>
      <c r="AC25" s="40">
        <v>0.146452675436563</v>
      </c>
      <c r="AD25" s="40">
        <v>0.0923710566986871</v>
      </c>
      <c r="AE25" s="40">
        <v>0.09130735734474608</v>
      </c>
      <c r="AF25" s="40">
        <v>0.09034040099693665</v>
      </c>
      <c r="AG25" s="40">
        <v>0.09054745922232431</v>
      </c>
      <c r="AH25" s="40">
        <v>0.09010835233653161</v>
      </c>
      <c r="AI25" s="40">
        <v>0.08982025579438947</v>
      </c>
      <c r="AJ25" s="40">
        <v>0.08895823011180336</v>
      </c>
      <c r="AK25" s="40">
        <v>0.08769766578185334</v>
      </c>
      <c r="AL25" s="40">
        <v>0.08724173163460468</v>
      </c>
      <c r="AM25" s="40">
        <v>0.08713949138100346</v>
      </c>
      <c r="AN25" s="40">
        <v>0.08850303907520364</v>
      </c>
      <c r="AO25" s="40">
        <v>0.08817565767314921</v>
      </c>
      <c r="AP25" s="40">
        <v>0.08795475832825343</v>
      </c>
      <c r="AQ25" s="40">
        <v>0.08734915191848866</v>
      </c>
      <c r="AR25" s="40">
        <v>0.0862776430775811</v>
      </c>
      <c r="AS25" s="40">
        <v>0.08631055587449762</v>
      </c>
      <c r="AT25" s="40">
        <v>0.08188988810793986</v>
      </c>
      <c r="AU25" s="40">
        <v>0.08289120073179149</v>
      </c>
      <c r="AV25" s="40">
        <v>0.04882194877693933</v>
      </c>
      <c r="AW25" s="40">
        <v>0.04588585204170916</v>
      </c>
      <c r="AX25" s="40">
        <v>0.04148498639603423</v>
      </c>
      <c r="AY25" s="51">
        <v>0.04469092517120707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 t="str">
        <f t="shared" ref="F26:G26" si="21">J26</f>
        <v/>
      </c>
      <c r="G26" s="31" t="str">
        <f t="shared" si="21"/>
        <v/>
      </c>
      <c r="H26" s="32" t="str">
        <f t="shared" si="20"/>
        <v>-</v>
      </c>
      <c r="I26" s="30"/>
      <c r="J26" s="31"/>
      <c r="K26" s="31"/>
      <c r="L26" s="31">
        <v>11181.8731495687</v>
      </c>
      <c r="M26" s="31">
        <v>11921.626966846</v>
      </c>
      <c r="N26" s="31">
        <v>11299.9027919784</v>
      </c>
      <c r="O26" s="31">
        <v>11178.9327820722</v>
      </c>
      <c r="P26" s="31">
        <v>10898.080204007</v>
      </c>
      <c r="Q26" s="31">
        <v>12195.8318121371</v>
      </c>
      <c r="R26" s="31">
        <v>9968.6775292088</v>
      </c>
      <c r="S26" s="31">
        <v>9736.8228095724</v>
      </c>
      <c r="T26" s="31">
        <v>7628.322581411</v>
      </c>
      <c r="U26" s="31">
        <v>7271.1221873611</v>
      </c>
      <c r="V26" s="31">
        <v>12169.6906480708</v>
      </c>
      <c r="W26" s="31">
        <v>11369.5476428887</v>
      </c>
      <c r="X26" s="31">
        <v>8841.605949032</v>
      </c>
      <c r="Y26" s="31">
        <v>10491.5318770842</v>
      </c>
      <c r="Z26" s="31">
        <v>9801.113124731</v>
      </c>
      <c r="AA26" s="31">
        <v>12444.7673028141</v>
      </c>
      <c r="AB26" s="31">
        <v>12260.2716514593</v>
      </c>
      <c r="AC26" s="31">
        <v>10956.657272906</v>
      </c>
      <c r="AD26" s="31">
        <v>12354.3349147596</v>
      </c>
      <c r="AE26" s="31">
        <v>12445.1673617493</v>
      </c>
      <c r="AF26" s="31">
        <v>10920.1832856666</v>
      </c>
      <c r="AG26" s="31">
        <v>11360.4036974907</v>
      </c>
      <c r="AH26" s="31">
        <v>10952.2782824241</v>
      </c>
      <c r="AI26" s="31">
        <v>13430.7345380594</v>
      </c>
      <c r="AJ26" s="31">
        <v>12317.7205214474</v>
      </c>
      <c r="AK26" s="31">
        <v>12272.429967998</v>
      </c>
      <c r="AL26" s="36">
        <v>10668.7043866548</v>
      </c>
      <c r="AM26" s="36">
        <v>10927.3177415357</v>
      </c>
      <c r="AN26" s="36">
        <v>10174.8439143049</v>
      </c>
      <c r="AO26" s="36">
        <v>7133.1555897028</v>
      </c>
      <c r="AP26" s="36">
        <v>6738.0463471104</v>
      </c>
      <c r="AQ26" s="36">
        <v>6823.5991098286</v>
      </c>
      <c r="AR26" s="36">
        <v>6656.5854015981</v>
      </c>
      <c r="AS26" s="36">
        <v>6486.3542345742</v>
      </c>
      <c r="AT26" s="36">
        <v>6649.5646152383</v>
      </c>
      <c r="AU26" s="36">
        <v>8058.3063454689</v>
      </c>
      <c r="AV26" s="36">
        <v>9276.1768150171</v>
      </c>
      <c r="AW26" s="36">
        <v>10028.6477641109</v>
      </c>
      <c r="AX26" s="36">
        <v>15691.3127335607</v>
      </c>
      <c r="AY26" s="37">
        <v>23490.601956336</v>
      </c>
      <c r="AZ26" s="37">
        <v>27034.9712000851</v>
      </c>
      <c r="BA26" s="37">
        <v>29085.2482469411</v>
      </c>
      <c r="BB26" s="37">
        <v>31445.4870489095</v>
      </c>
      <c r="BC26" s="37">
        <v>32830.9574317394</v>
      </c>
      <c r="BD26" s="37">
        <v>31729.8562434683</v>
      </c>
      <c r="BE26" s="37">
        <v>32132.000200556</v>
      </c>
    </row>
    <row r="27">
      <c r="D27" s="3"/>
      <c r="F27" s="4"/>
      <c r="G27" s="4"/>
      <c r="H27" s="5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 t="str">
        <f t="shared" ref="F29:G29" si="22">J29</f>
        <v/>
      </c>
      <c r="G29" s="55" t="str">
        <f t="shared" si="22"/>
        <v/>
      </c>
      <c r="H29" s="56" t="str">
        <f t="shared" ref="H29:H37" si="24">IFERROR(F29/G29-1,"-")</f>
        <v>-</v>
      </c>
      <c r="I29" s="30"/>
      <c r="J29" s="40"/>
      <c r="K29" s="40"/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 t="str">
        <f t="shared" ref="F30:G30" si="23">J30</f>
        <v/>
      </c>
      <c r="G30" s="55" t="str">
        <f t="shared" si="23"/>
        <v/>
      </c>
      <c r="H30" s="32" t="str">
        <f t="shared" si="24"/>
        <v>-</v>
      </c>
      <c r="I30" s="30"/>
      <c r="J30" s="40"/>
      <c r="K30" s="40"/>
      <c r="L30" s="40">
        <v>0.2932518783793273</v>
      </c>
      <c r="M30" s="40">
        <v>0.29156914568015035</v>
      </c>
      <c r="N30" s="40">
        <v>0.2593107241593932</v>
      </c>
      <c r="O30" s="40">
        <v>0.23316201288738878</v>
      </c>
      <c r="P30" s="40">
        <v>0.31028808919275447</v>
      </c>
      <c r="Q30" s="40">
        <v>0.30487903598852806</v>
      </c>
      <c r="R30" s="40">
        <v>0.3211180342873236</v>
      </c>
      <c r="S30" s="40">
        <v>0.33171046490859124</v>
      </c>
      <c r="T30" s="40">
        <v>0.3429080468609808</v>
      </c>
      <c r="U30" s="40">
        <v>0.3667874069253848</v>
      </c>
      <c r="V30" s="40">
        <v>0.3645209614920521</v>
      </c>
      <c r="W30" s="40">
        <v>0.34902767389678385</v>
      </c>
      <c r="X30" s="31">
        <v>0.3305819253141289</v>
      </c>
      <c r="Y30" s="31">
        <v>0.32263390549336934</v>
      </c>
      <c r="Z30" s="31">
        <v>0.3116446124763705</v>
      </c>
      <c r="AA30" s="31">
        <v>0.3303517757099233</v>
      </c>
      <c r="AB30" s="31">
        <v>0.3742218672114716</v>
      </c>
      <c r="AC30" s="31">
        <v>0.37103834767939164</v>
      </c>
      <c r="AD30" s="31">
        <v>0.3618156026527042</v>
      </c>
      <c r="AE30" s="31">
        <v>0.34861676245124307</v>
      </c>
      <c r="AF30" s="31">
        <v>0.35261184687135894</v>
      </c>
      <c r="AG30" s="31">
        <v>0.33395888397560036</v>
      </c>
      <c r="AH30" s="31">
        <v>0.28887158743795344</v>
      </c>
      <c r="AI30" s="31">
        <v>0.25078363818939353</v>
      </c>
      <c r="AJ30" s="31">
        <v>0.24592030147710323</v>
      </c>
      <c r="AK30" s="31">
        <v>0.27261614033909876</v>
      </c>
      <c r="AL30" s="31">
        <v>0.28258046293706685</v>
      </c>
      <c r="AM30" s="31">
        <v>0.30559076737846214</v>
      </c>
      <c r="AN30" s="31">
        <v>0.2934068042343718</v>
      </c>
      <c r="AO30" s="31">
        <v>0.30623980142952356</v>
      </c>
      <c r="AP30" s="31">
        <v>0.3093272633742585</v>
      </c>
      <c r="AQ30" s="31">
        <v>0.32500958537625013</v>
      </c>
      <c r="AR30" s="31">
        <v>0.3355303054881046</v>
      </c>
      <c r="AS30" s="31">
        <v>0.3285841919172718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 t="str">
        <f t="shared" ref="F31:G31" si="25">J31</f>
        <v/>
      </c>
      <c r="G31" s="55" t="str">
        <f t="shared" si="25"/>
        <v/>
      </c>
      <c r="H31" s="32" t="str">
        <f t="shared" si="24"/>
        <v>-</v>
      </c>
      <c r="I31" s="30"/>
      <c r="J31" s="40"/>
      <c r="K31" s="40"/>
      <c r="L31" s="40">
        <v>0.07050768906677901</v>
      </c>
      <c r="M31" s="40">
        <v>0.07423357506535407</v>
      </c>
      <c r="N31" s="40">
        <v>0.08091970993095662</v>
      </c>
      <c r="O31" s="40">
        <v>0.07393372200061368</v>
      </c>
      <c r="P31" s="40">
        <v>0.06429878437992027</v>
      </c>
      <c r="Q31" s="40">
        <v>0.0646914608196873</v>
      </c>
      <c r="R31" s="40">
        <v>0.05966252449513618</v>
      </c>
      <c r="S31" s="40">
        <v>0.06434049123939134</v>
      </c>
      <c r="T31" s="40">
        <v>0.059076110641134105</v>
      </c>
      <c r="U31" s="40">
        <v>0.0628617168919269</v>
      </c>
      <c r="V31" s="40">
        <v>0.05571973025767587</v>
      </c>
      <c r="W31" s="40">
        <v>0.05873691099476439</v>
      </c>
      <c r="X31" s="31">
        <v>0.06960944778787803</v>
      </c>
      <c r="Y31" s="31">
        <v>0.08314958802367413</v>
      </c>
      <c r="Z31" s="31">
        <v>0.09982986767485821</v>
      </c>
      <c r="AA31" s="31">
        <v>0.09005987160066363</v>
      </c>
      <c r="AB31" s="31">
        <v>0.08476991079074804</v>
      </c>
      <c r="AC31" s="31">
        <v>0.10406137930786413</v>
      </c>
      <c r="AD31" s="31">
        <v>0.10333925203610951</v>
      </c>
      <c r="AE31" s="31">
        <v>0.10176923285125271</v>
      </c>
      <c r="AF31" s="31">
        <v>0.10638347594136321</v>
      </c>
      <c r="AG31" s="31">
        <v>0.11168444492105445</v>
      </c>
      <c r="AH31" s="31">
        <v>0.09282228426880489</v>
      </c>
      <c r="AI31" s="31">
        <v>0.07768697745895954</v>
      </c>
      <c r="AJ31" s="31">
        <v>0.08035183544374783</v>
      </c>
      <c r="AK31" s="31">
        <v>0.09036105819395374</v>
      </c>
      <c r="AL31" s="31">
        <v>0.08648156199031372</v>
      </c>
      <c r="AM31" s="31">
        <v>0.08407441305018133</v>
      </c>
      <c r="AN31" s="31">
        <v>0.09205800283165724</v>
      </c>
      <c r="AO31" s="31">
        <v>0.08684700420583301</v>
      </c>
      <c r="AP31" s="31">
        <v>0.08547029304037392</v>
      </c>
      <c r="AQ31" s="31">
        <v>0.08345381990630964</v>
      </c>
      <c r="AR31" s="31">
        <v>0.08459881757810647</v>
      </c>
      <c r="AS31" s="31">
        <v>0.0836644109036992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 t="str">
        <f t="shared" ref="F32:G32" si="26">J32</f>
        <v/>
      </c>
      <c r="G32" s="55" t="str">
        <f t="shared" si="26"/>
        <v/>
      </c>
      <c r="H32" s="32" t="str">
        <f t="shared" si="24"/>
        <v>-</v>
      </c>
      <c r="I32" s="30"/>
      <c r="J32" s="40"/>
      <c r="K32" s="40"/>
      <c r="L32" s="40">
        <v>0.07850572291271679</v>
      </c>
      <c r="M32" s="40">
        <v>0.07765431120777191</v>
      </c>
      <c r="N32" s="40">
        <v>0.07344362904743296</v>
      </c>
      <c r="O32" s="40">
        <v>0.06534212948757287</v>
      </c>
      <c r="P32" s="40">
        <v>0.05250429084100484</v>
      </c>
      <c r="Q32" s="40">
        <v>0.055040938107132946</v>
      </c>
      <c r="R32" s="40">
        <v>0.05447014233580925</v>
      </c>
      <c r="S32" s="40">
        <v>0.05316862659237962</v>
      </c>
      <c r="T32" s="40">
        <v>0.05355174446922506</v>
      </c>
      <c r="U32" s="40">
        <v>0.049927728605075695</v>
      </c>
      <c r="V32" s="40">
        <v>0.05511868389059135</v>
      </c>
      <c r="W32" s="40">
        <v>0.0606161181750187</v>
      </c>
      <c r="X32" s="31">
        <v>0.06455820512174855</v>
      </c>
      <c r="Y32" s="31">
        <v>0.06979332608902065</v>
      </c>
      <c r="Z32" s="31">
        <v>0.06790642722117202</v>
      </c>
      <c r="AA32" s="31">
        <v>0.06424375035065362</v>
      </c>
      <c r="AB32" s="31">
        <v>0.05680129339974424</v>
      </c>
      <c r="AC32" s="31">
        <v>0.057534108607994704</v>
      </c>
      <c r="AD32" s="31">
        <v>0.05650142990232518</v>
      </c>
      <c r="AE32" s="31">
        <v>0.057100839957054825</v>
      </c>
      <c r="AF32" s="31">
        <v>0.05687072468025866</v>
      </c>
      <c r="AG32" s="31">
        <v>0.061566799346483556</v>
      </c>
      <c r="AH32" s="31">
        <v>0.13612960576555935</v>
      </c>
      <c r="AI32" s="31">
        <v>0.15837258459131534</v>
      </c>
      <c r="AJ32" s="31">
        <v>0.1481701640851942</v>
      </c>
      <c r="AK32" s="31">
        <v>0.1624719912050286</v>
      </c>
      <c r="AL32" s="31">
        <v>0.1610532524388792</v>
      </c>
      <c r="AM32" s="31">
        <v>0.15940025156740195</v>
      </c>
      <c r="AN32" s="31">
        <v>0.16212087727947194</v>
      </c>
      <c r="AO32" s="31">
        <v>0.1585920801636368</v>
      </c>
      <c r="AP32" s="31">
        <v>0.15683941175561497</v>
      </c>
      <c r="AQ32" s="31">
        <v>0.15615702452785327</v>
      </c>
      <c r="AR32" s="31">
        <v>0.1540667277260215</v>
      </c>
      <c r="AS32" s="31">
        <v>0.15973700718549214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 t="str">
        <f t="shared" ref="F33:G33" si="27">J33</f>
        <v/>
      </c>
      <c r="G33" s="55" t="str">
        <f t="shared" si="27"/>
        <v/>
      </c>
      <c r="H33" s="32" t="str">
        <f t="shared" si="24"/>
        <v>-</v>
      </c>
      <c r="I33" s="30"/>
      <c r="J33" s="40"/>
      <c r="K33" s="40"/>
      <c r="L33" s="40">
        <v>0.061505512253353</v>
      </c>
      <c r="M33" s="40">
        <v>0.05805169272427426</v>
      </c>
      <c r="N33" s="40">
        <v>0.06517868774154327</v>
      </c>
      <c r="O33" s="40">
        <v>0.07394906413010126</v>
      </c>
      <c r="P33" s="40">
        <v>0.07101519170484687</v>
      </c>
      <c r="Q33" s="40">
        <v>0.07120223887501156</v>
      </c>
      <c r="R33" s="40">
        <v>0.06723694863941987</v>
      </c>
      <c r="S33" s="40">
        <v>0.06831027707837589</v>
      </c>
      <c r="T33" s="40">
        <v>0.0709643928324233</v>
      </c>
      <c r="U33" s="40">
        <v>0.06688703203551952</v>
      </c>
      <c r="V33" s="40">
        <v>0.07015394983084187</v>
      </c>
      <c r="W33" s="40">
        <v>0.0693296559461481</v>
      </c>
      <c r="X33" s="31">
        <v>0.06996701332057513</v>
      </c>
      <c r="Y33" s="31">
        <v>0.0728528173694705</v>
      </c>
      <c r="Z33" s="31">
        <v>0.0679867674858223</v>
      </c>
      <c r="AA33" s="31">
        <v>0.07152933067237331</v>
      </c>
      <c r="AB33" s="31">
        <v>0.06889427378753374</v>
      </c>
      <c r="AC33" s="31">
        <v>0.06858770759220024</v>
      </c>
      <c r="AD33" s="31">
        <v>0.06995322385356242</v>
      </c>
      <c r="AE33" s="31">
        <v>0.07466986650306599</v>
      </c>
      <c r="AF33" s="31">
        <v>0.07284527223500112</v>
      </c>
      <c r="AG33" s="31">
        <v>0.07968358702303077</v>
      </c>
      <c r="AH33" s="31">
        <v>0.08521859488354333</v>
      </c>
      <c r="AI33" s="31">
        <v>0.08360656647193604</v>
      </c>
      <c r="AJ33" s="31">
        <v>0.08329033994683775</v>
      </c>
      <c r="AK33" s="31">
        <v>0.08316898709567329</v>
      </c>
      <c r="AL33" s="31">
        <v>0.08561760478942428</v>
      </c>
      <c r="AM33" s="31">
        <v>0.08456384379328404</v>
      </c>
      <c r="AN33" s="31">
        <v>0.08258433651550733</v>
      </c>
      <c r="AO33" s="31">
        <v>0.08108524281216244</v>
      </c>
      <c r="AP33" s="31">
        <v>0.08006120002384416</v>
      </c>
      <c r="AQ33" s="31">
        <v>0.07205846758215043</v>
      </c>
      <c r="AR33" s="31">
        <v>0.06955276102250295</v>
      </c>
      <c r="AS33" s="31">
        <v>0.05824668288788351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 t="str">
        <f t="shared" ref="F34:G34" si="28">J34</f>
        <v/>
      </c>
      <c r="G34" s="55" t="str">
        <f t="shared" si="28"/>
        <v/>
      </c>
      <c r="H34" s="32" t="str">
        <f t="shared" si="24"/>
        <v>-</v>
      </c>
      <c r="I34" s="30"/>
      <c r="J34" s="40"/>
      <c r="K34" s="40"/>
      <c r="L34" s="40">
        <v>0.11160030896706691</v>
      </c>
      <c r="M34" s="40">
        <v>0.11667950943042944</v>
      </c>
      <c r="N34" s="40">
        <v>0.12849016457510098</v>
      </c>
      <c r="O34" s="40">
        <v>0.13537127953359926</v>
      </c>
      <c r="P34" s="40">
        <v>0.11778181250797885</v>
      </c>
      <c r="Q34" s="40">
        <v>0.1265091590341382</v>
      </c>
      <c r="R34" s="40">
        <v>0.13139367057415427</v>
      </c>
      <c r="S34" s="40">
        <v>0.11861535713668393</v>
      </c>
      <c r="T34" s="40">
        <v>0.11352508395498474</v>
      </c>
      <c r="U34" s="40">
        <v>0.11044566400423837</v>
      </c>
      <c r="V34" s="40">
        <v>0.09896319501677922</v>
      </c>
      <c r="W34" s="40">
        <v>0.10719895287958114</v>
      </c>
      <c r="X34" s="31">
        <v>0.10653438420668296</v>
      </c>
      <c r="Y34" s="31">
        <v>0.08786542458353994</v>
      </c>
      <c r="Z34" s="31">
        <v>0.08222117202268431</v>
      </c>
      <c r="AA34" s="31">
        <v>0.0773802367613231</v>
      </c>
      <c r="AB34" s="31">
        <v>0.07561472970326306</v>
      </c>
      <c r="AC34" s="31">
        <v>0.08460517465261916</v>
      </c>
      <c r="AD34" s="31">
        <v>0.08377507198202964</v>
      </c>
      <c r="AE34" s="31">
        <v>0.08172213751477368</v>
      </c>
      <c r="AF34" s="31">
        <v>0.07848059851972532</v>
      </c>
      <c r="AG34" s="31">
        <v>0.08177155941890026</v>
      </c>
      <c r="AH34" s="31">
        <v>0.07334025391370752</v>
      </c>
      <c r="AI34" s="31">
        <v>0.07353716248079045</v>
      </c>
      <c r="AJ34" s="31">
        <v>0.07040634358071354</v>
      </c>
      <c r="AK34" s="31">
        <v>0.06749245405998149</v>
      </c>
      <c r="AL34" s="31">
        <v>0.06569397639070802</v>
      </c>
      <c r="AM34" s="31">
        <v>0.058413559189306914</v>
      </c>
      <c r="AN34" s="31">
        <v>0.057747836793573155</v>
      </c>
      <c r="AO34" s="31">
        <v>0.05865183516811841</v>
      </c>
      <c r="AP34" s="31">
        <v>0.06999366363389492</v>
      </c>
      <c r="AQ34" s="31">
        <v>0.06594310463375296</v>
      </c>
      <c r="AR34" s="31">
        <v>0.06167660336957796</v>
      </c>
      <c r="AS34" s="31">
        <v>0.06585275443865718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 t="str">
        <f t="shared" ref="F35:G35" si="29">J35</f>
        <v/>
      </c>
      <c r="G35" s="55" t="str">
        <f t="shared" si="29"/>
        <v/>
      </c>
      <c r="H35" s="32" t="str">
        <f t="shared" si="24"/>
        <v>-</v>
      </c>
      <c r="I35" s="30"/>
      <c r="J35" s="40"/>
      <c r="K35" s="40"/>
      <c r="L35" s="40">
        <v>0.0</v>
      </c>
      <c r="M35" s="40">
        <v>0.0</v>
      </c>
      <c r="N35" s="40">
        <v>0.0</v>
      </c>
      <c r="O35" s="40">
        <v>0.0</v>
      </c>
      <c r="P35" s="40">
        <v>0.0</v>
      </c>
      <c r="Q35" s="40">
        <v>0.0</v>
      </c>
      <c r="R35" s="40">
        <v>0.0</v>
      </c>
      <c r="S35" s="40">
        <v>0.0</v>
      </c>
      <c r="T35" s="40">
        <v>0.0</v>
      </c>
      <c r="U35" s="40">
        <v>0.0</v>
      </c>
      <c r="V35" s="40">
        <v>0.0</v>
      </c>
      <c r="W35" s="40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0.0</v>
      </c>
      <c r="AD35" s="31">
        <v>0.0</v>
      </c>
      <c r="AE35" s="31">
        <v>0.0</v>
      </c>
      <c r="AF35" s="31">
        <v>0.0</v>
      </c>
      <c r="AG35" s="31">
        <v>0.0</v>
      </c>
      <c r="AH35" s="31">
        <v>0.0</v>
      </c>
      <c r="AI35" s="31">
        <v>0.0</v>
      </c>
      <c r="AJ35" s="31">
        <v>0.0</v>
      </c>
      <c r="AK35" s="31">
        <v>0.0</v>
      </c>
      <c r="AL35" s="31">
        <v>0.0</v>
      </c>
      <c r="AM35" s="31">
        <v>0.0</v>
      </c>
      <c r="AN35" s="31">
        <v>0.0</v>
      </c>
      <c r="AO35" s="31">
        <v>0.0</v>
      </c>
      <c r="AP35" s="31">
        <v>0.0</v>
      </c>
      <c r="AQ35" s="31">
        <v>0.0</v>
      </c>
      <c r="AR35" s="31">
        <v>0.0</v>
      </c>
      <c r="AS35" s="31">
        <v>0.0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 t="str">
        <f t="shared" ref="F36:G36" si="30">J36</f>
        <v/>
      </c>
      <c r="G36" s="55" t="str">
        <f t="shared" si="30"/>
        <v/>
      </c>
      <c r="H36" s="32" t="str">
        <f t="shared" si="24"/>
        <v>-</v>
      </c>
      <c r="I36" s="30"/>
      <c r="J36" s="40"/>
      <c r="K36" s="40"/>
      <c r="L36" s="40">
        <v>0.0</v>
      </c>
      <c r="M36" s="40">
        <v>0.0</v>
      </c>
      <c r="N36" s="40">
        <v>0.0</v>
      </c>
      <c r="O36" s="40">
        <v>0.0</v>
      </c>
      <c r="P36" s="40">
        <v>0.0</v>
      </c>
      <c r="Q36" s="40">
        <v>0.0</v>
      </c>
      <c r="R36" s="40">
        <v>0.0</v>
      </c>
      <c r="S36" s="40">
        <v>0.0</v>
      </c>
      <c r="T36" s="40">
        <v>0.0</v>
      </c>
      <c r="U36" s="40">
        <v>0.0</v>
      </c>
      <c r="V36" s="40">
        <v>0.0</v>
      </c>
      <c r="W36" s="40">
        <v>0.0</v>
      </c>
      <c r="X36" s="31">
        <v>0.0</v>
      </c>
      <c r="Y36" s="31">
        <v>0.0</v>
      </c>
      <c r="Z36" s="31">
        <v>0.0</v>
      </c>
      <c r="AA36" s="31">
        <v>0.0</v>
      </c>
      <c r="AB36" s="31">
        <v>0.0</v>
      </c>
      <c r="AC36" s="31">
        <v>0.0</v>
      </c>
      <c r="AD36" s="31">
        <v>0.0</v>
      </c>
      <c r="AE36" s="31">
        <v>0.0</v>
      </c>
      <c r="AF36" s="31">
        <v>0.0</v>
      </c>
      <c r="AG36" s="31">
        <v>0.0</v>
      </c>
      <c r="AH36" s="31">
        <v>0.0</v>
      </c>
      <c r="AI36" s="31">
        <v>0.0</v>
      </c>
      <c r="AJ36" s="31">
        <v>0.0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 t="str">
        <f t="shared" ref="F37:G37" si="31">J37</f>
        <v/>
      </c>
      <c r="G37" s="55" t="str">
        <f t="shared" si="31"/>
        <v/>
      </c>
      <c r="H37" s="56" t="str">
        <f t="shared" si="24"/>
        <v>-</v>
      </c>
      <c r="I37" s="30"/>
      <c r="J37" s="40"/>
      <c r="K37" s="40"/>
      <c r="L37" s="40">
        <v>0.3846288884207571</v>
      </c>
      <c r="M37" s="40">
        <v>0.38181176589202004</v>
      </c>
      <c r="N37" s="40">
        <v>0.3926570845455729</v>
      </c>
      <c r="O37" s="40">
        <v>0.41824179196072414</v>
      </c>
      <c r="P37" s="40">
        <v>0.3841118313734947</v>
      </c>
      <c r="Q37" s="40">
        <v>0.37767716717550187</v>
      </c>
      <c r="R37" s="40">
        <v>0.36611867966815687</v>
      </c>
      <c r="S37" s="40">
        <v>0.36385478304457813</v>
      </c>
      <c r="T37" s="40">
        <v>0.3599746212412519</v>
      </c>
      <c r="U37" s="40">
        <v>0.34309045153785483</v>
      </c>
      <c r="V37" s="40">
        <v>0.35552347951205965</v>
      </c>
      <c r="W37" s="40">
        <v>0.3550906881077038</v>
      </c>
      <c r="X37" s="31">
        <v>0.35874902424898636</v>
      </c>
      <c r="Y37" s="31">
        <v>0.3637049384409255</v>
      </c>
      <c r="Z37" s="31">
        <v>0.37041115311909273</v>
      </c>
      <c r="AA37" s="31">
        <v>0.36643503490506296</v>
      </c>
      <c r="AB37" s="31">
        <v>0.3396979251072392</v>
      </c>
      <c r="AC37" s="31">
        <v>0.31417328215993007</v>
      </c>
      <c r="AD37" s="31">
        <v>0.32461541957326917</v>
      </c>
      <c r="AE37" s="31">
        <v>0.33612116072260967</v>
      </c>
      <c r="AF37" s="31">
        <v>0.33280808175229265</v>
      </c>
      <c r="AG37" s="31">
        <v>0.33133472531493063</v>
      </c>
      <c r="AH37" s="31">
        <v>0.3236176737304315</v>
      </c>
      <c r="AI37" s="31">
        <v>0.35601307080760497</v>
      </c>
      <c r="AJ37" s="31">
        <v>0.3718610154664034</v>
      </c>
      <c r="AK37" s="31">
        <v>0.3238893691062641</v>
      </c>
      <c r="AL37" s="31">
        <v>0.31857314145360804</v>
      </c>
      <c r="AM37" s="31">
        <v>0.30795716502136367</v>
      </c>
      <c r="AN37" s="31">
        <v>0.31208214234541853</v>
      </c>
      <c r="AO37" s="31">
        <v>0.3085840362207258</v>
      </c>
      <c r="AP37" s="31">
        <v>0.29830816817201344</v>
      </c>
      <c r="AQ37" s="31">
        <v>0.2973779979736836</v>
      </c>
      <c r="AR37" s="31">
        <v>0.2945747848156866</v>
      </c>
      <c r="AS37" s="31">
        <v>0.30391495266699614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 t="str">
        <f t="shared" ref="F40:G40" si="32">J40</f>
        <v/>
      </c>
      <c r="G40" s="55">
        <f t="shared" si="32"/>
        <v>1</v>
      </c>
      <c r="H40" s="32">
        <f t="shared" ref="H40:H48" si="34">IFERROR(F40/G40-1,"-")</f>
        <v>-1</v>
      </c>
      <c r="I40" s="30"/>
      <c r="J40" s="40"/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>
        <v>1.0</v>
      </c>
      <c r="AF40" s="31">
        <v>1.0</v>
      </c>
      <c r="AG40" s="31">
        <v>1.0</v>
      </c>
      <c r="AH40" s="31">
        <v>1.0</v>
      </c>
      <c r="AI40" s="31">
        <v>1.0</v>
      </c>
      <c r="AJ40" s="31">
        <v>1.0</v>
      </c>
      <c r="AK40" s="31">
        <v>1.0</v>
      </c>
      <c r="AL40" s="31">
        <v>1.0</v>
      </c>
      <c r="AM40" s="31">
        <v>1.0</v>
      </c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 t="str">
        <f t="shared" ref="F41:G41" si="33">J41</f>
        <v/>
      </c>
      <c r="G41" s="55">
        <f t="shared" si="33"/>
        <v>0.9288002756</v>
      </c>
      <c r="H41" s="32">
        <f t="shared" si="34"/>
        <v>-1</v>
      </c>
      <c r="I41" s="30"/>
      <c r="J41" s="40"/>
      <c r="K41" s="40">
        <v>0.9288002755654385</v>
      </c>
      <c r="L41" s="40">
        <v>0.5879405173901006</v>
      </c>
      <c r="M41" s="40">
        <v>0.5797685688877463</v>
      </c>
      <c r="N41" s="40">
        <v>0.5942269367217736</v>
      </c>
      <c r="O41" s="40">
        <v>0.4270986659737262</v>
      </c>
      <c r="P41" s="40">
        <v>0.4215551410809995</v>
      </c>
      <c r="Q41" s="40">
        <v>0.3159193974304582</v>
      </c>
      <c r="R41" s="40">
        <v>0.7149706270429967</v>
      </c>
      <c r="S41" s="40">
        <v>0.7864357725884642</v>
      </c>
      <c r="T41" s="40">
        <v>0.6122707216412422</v>
      </c>
      <c r="U41" s="40">
        <v>0.6915747318265568</v>
      </c>
      <c r="V41" s="40">
        <v>0.6871628206325819</v>
      </c>
      <c r="W41" s="40">
        <v>0.7051190537727247</v>
      </c>
      <c r="X41" s="31">
        <v>0.7052212277753727</v>
      </c>
      <c r="Y41" s="31">
        <v>0.6577379271182816</v>
      </c>
      <c r="Z41" s="31">
        <v>0.688115263457063</v>
      </c>
      <c r="AA41" s="31">
        <v>0.8205566064211371</v>
      </c>
      <c r="AB41" s="31">
        <v>0.7903981701789936</v>
      </c>
      <c r="AC41" s="31">
        <v>0.76078585113794</v>
      </c>
      <c r="AD41" s="31">
        <v>0.7809517063591417</v>
      </c>
      <c r="AE41" s="31">
        <v>0.7893752060362189</v>
      </c>
      <c r="AF41" s="31">
        <v>0.7589588813737151</v>
      </c>
      <c r="AG41" s="31">
        <v>0.7463760290233351</v>
      </c>
      <c r="AH41" s="31">
        <v>0.7696819392711144</v>
      </c>
      <c r="AI41" s="31">
        <v>0.7306386386493116</v>
      </c>
      <c r="AJ41" s="31">
        <v>0.7559497517157112</v>
      </c>
      <c r="AK41" s="31">
        <v>0.717243345379547</v>
      </c>
      <c r="AL41" s="31">
        <v>0.7126435225515905</v>
      </c>
      <c r="AM41" s="31">
        <v>0.7467463528128031</v>
      </c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 t="str">
        <f t="shared" ref="F42:G42" si="35">J42</f>
        <v/>
      </c>
      <c r="G42" s="55">
        <f t="shared" si="35"/>
        <v>0.1984947373</v>
      </c>
      <c r="H42" s="32">
        <f t="shared" si="34"/>
        <v>-1</v>
      </c>
      <c r="I42" s="30"/>
      <c r="J42" s="40"/>
      <c r="K42" s="40">
        <v>0.19849473733421116</v>
      </c>
      <c r="L42" s="40">
        <v>0.14260328098374037</v>
      </c>
      <c r="M42" s="40">
        <v>0.14141831326423082</v>
      </c>
      <c r="N42" s="40">
        <v>0.12765672159967145</v>
      </c>
      <c r="O42" s="40">
        <v>0.23646623399237748</v>
      </c>
      <c r="P42" s="40">
        <v>0.2126695538357648</v>
      </c>
      <c r="Q42" s="40">
        <v>0.23357216084530472</v>
      </c>
      <c r="R42" s="40">
        <v>0.09675227386529896</v>
      </c>
      <c r="S42" s="40">
        <v>0.09091139218693979</v>
      </c>
      <c r="T42" s="40">
        <v>0.14924913869699563</v>
      </c>
      <c r="U42" s="40">
        <v>0.1276962166474438</v>
      </c>
      <c r="V42" s="40">
        <v>0.12094980655956106</v>
      </c>
      <c r="W42" s="40">
        <v>0.10773597952237349</v>
      </c>
      <c r="X42" s="31">
        <v>0.10727981665721935</v>
      </c>
      <c r="Y42" s="31">
        <v>0.12210036091761323</v>
      </c>
      <c r="Z42" s="31">
        <v>0.09751620158885124</v>
      </c>
      <c r="AA42" s="31">
        <v>0.03609381756348123</v>
      </c>
      <c r="AB42" s="31">
        <v>0.037165508128157734</v>
      </c>
      <c r="AC42" s="31">
        <v>0.03835088774399021</v>
      </c>
      <c r="AD42" s="31">
        <v>0.032849667904107975</v>
      </c>
      <c r="AE42" s="31">
        <v>0.032303343634806025</v>
      </c>
      <c r="AF42" s="31">
        <v>0.0406744682067317</v>
      </c>
      <c r="AG42" s="31">
        <v>0.041065452758503096</v>
      </c>
      <c r="AH42" s="31">
        <v>0.04328594017675244</v>
      </c>
      <c r="AI42" s="31">
        <v>0.04552058846035454</v>
      </c>
      <c r="AJ42" s="31">
        <v>0.04362679752961696</v>
      </c>
      <c r="AK42" s="31">
        <v>0.05555519673241321</v>
      </c>
      <c r="AL42" s="31">
        <v>0.061538741618511056</v>
      </c>
      <c r="AM42" s="31">
        <v>0.059631126135654744</v>
      </c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 t="str">
        <f t="shared" ref="F43:G43" si="36">J43</f>
        <v/>
      </c>
      <c r="G43" s="55">
        <f t="shared" si="36"/>
        <v>0.1613396941</v>
      </c>
      <c r="H43" s="32">
        <f t="shared" si="34"/>
        <v>-1</v>
      </c>
      <c r="I43" s="30"/>
      <c r="J43" s="40"/>
      <c r="K43" s="40">
        <v>0.16133969411957017</v>
      </c>
      <c r="L43" s="40">
        <v>0.23702990074020525</v>
      </c>
      <c r="M43" s="40">
        <v>0.24268603021879273</v>
      </c>
      <c r="N43" s="40">
        <v>0.2611168106215816</v>
      </c>
      <c r="O43" s="40">
        <v>0.31407454178795563</v>
      </c>
      <c r="P43" s="40">
        <v>0.3390077584102034</v>
      </c>
      <c r="Q43" s="40">
        <v>0.4204333546189749</v>
      </c>
      <c r="R43" s="40">
        <v>0.17714176707010518</v>
      </c>
      <c r="S43" s="40">
        <v>0.11425121043250039</v>
      </c>
      <c r="T43" s="40">
        <v>0.22490047968859217</v>
      </c>
      <c r="U43" s="40">
        <v>0.17138215494148654</v>
      </c>
      <c r="V43" s="40">
        <v>0.1858263396393832</v>
      </c>
      <c r="W43" s="40">
        <v>0.17849476420477428</v>
      </c>
      <c r="X43" s="31">
        <v>0.17782411656914304</v>
      </c>
      <c r="Y43" s="31">
        <v>0.18998222770244652</v>
      </c>
      <c r="Z43" s="31">
        <v>0.1809957590809277</v>
      </c>
      <c r="AA43" s="31">
        <v>0.1315475229538485</v>
      </c>
      <c r="AB43" s="31">
        <v>0.1583827733369297</v>
      </c>
      <c r="AC43" s="31">
        <v>0.18290598854428788</v>
      </c>
      <c r="AD43" s="31">
        <v>0.17314336839579716</v>
      </c>
      <c r="AE43" s="31">
        <v>0.16368241568246059</v>
      </c>
      <c r="AF43" s="31">
        <v>0.17901653398451545</v>
      </c>
      <c r="AG43" s="31">
        <v>0.19202842202889123</v>
      </c>
      <c r="AH43" s="31">
        <v>0.16515912195215376</v>
      </c>
      <c r="AI43" s="31">
        <v>0.17282901083497174</v>
      </c>
      <c r="AJ43" s="31">
        <v>0.16278326630384757</v>
      </c>
      <c r="AK43" s="31">
        <v>0.1921369034498691</v>
      </c>
      <c r="AL43" s="31">
        <v>0.18984764630390938</v>
      </c>
      <c r="AM43" s="31">
        <v>0.16169474737015935</v>
      </c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 t="str">
        <f t="shared" ref="F44:G44" si="37">J44</f>
        <v/>
      </c>
      <c r="G44" s="55">
        <f t="shared" si="37"/>
        <v>0.02950924003</v>
      </c>
      <c r="H44" s="32">
        <f t="shared" si="34"/>
        <v>-1</v>
      </c>
      <c r="I44" s="30"/>
      <c r="J44" s="40"/>
      <c r="K44" s="40">
        <v>0.02950924002678587</v>
      </c>
      <c r="L44" s="40">
        <v>0.02946354031061507</v>
      </c>
      <c r="M44" s="40">
        <v>0.02997677009992041</v>
      </c>
      <c r="N44" s="40">
        <v>0.016376377464724506</v>
      </c>
      <c r="O44" s="40">
        <v>0.022243120255046375</v>
      </c>
      <c r="P44" s="40">
        <v>0.02503583087619453</v>
      </c>
      <c r="Q44" s="40">
        <v>0.023068882204296592</v>
      </c>
      <c r="R44" s="40">
        <v>0.007602485702164806</v>
      </c>
      <c r="S44" s="40">
        <v>0.006398737049381049</v>
      </c>
      <c r="T44" s="40">
        <v>0.012989434630703919</v>
      </c>
      <c r="U44" s="40">
        <v>0.009048752684680628</v>
      </c>
      <c r="V44" s="40">
        <v>0.005805742837212011</v>
      </c>
      <c r="W44" s="40">
        <v>0.00846302348755366</v>
      </c>
      <c r="X44" s="31">
        <v>0.00953480589674652</v>
      </c>
      <c r="Y44" s="31">
        <v>0.03017948426165835</v>
      </c>
      <c r="Z44" s="31">
        <v>0.03337277587315811</v>
      </c>
      <c r="AA44" s="31">
        <v>0.011802053061532694</v>
      </c>
      <c r="AB44" s="31">
        <v>0.014053548355919421</v>
      </c>
      <c r="AC44" s="31">
        <v>0.017957272573781668</v>
      </c>
      <c r="AD44" s="31">
        <v>0.013055257340953084</v>
      </c>
      <c r="AE44" s="31">
        <v>0.014639034646514629</v>
      </c>
      <c r="AF44" s="31">
        <v>0.021331392722806992</v>
      </c>
      <c r="AG44" s="31">
        <v>0.020381501623648133</v>
      </c>
      <c r="AH44" s="31">
        <v>0.021778993595285526</v>
      </c>
      <c r="AI44" s="31">
        <v>0.05089516200382575</v>
      </c>
      <c r="AJ44" s="31">
        <v>0.037515455697472735</v>
      </c>
      <c r="AK44" s="31">
        <v>0.03491721872289689</v>
      </c>
      <c r="AL44" s="31">
        <v>0.03596791612080118</v>
      </c>
      <c r="AM44" s="31">
        <v>0.031927773681382866</v>
      </c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 t="str">
        <f t="shared" ref="F45:G45" si="38">J45</f>
        <v/>
      </c>
      <c r="G45" s="55">
        <f t="shared" si="38"/>
        <v>0</v>
      </c>
      <c r="H45" s="32" t="str">
        <f t="shared" si="34"/>
        <v>-</v>
      </c>
      <c r="I45" s="30"/>
      <c r="J45" s="40"/>
      <c r="K45" s="40">
        <v>0.0</v>
      </c>
      <c r="L45" s="40">
        <v>0.0</v>
      </c>
      <c r="M45" s="40">
        <v>0.0</v>
      </c>
      <c r="N45" s="40">
        <v>0.0</v>
      </c>
      <c r="O45" s="40">
        <v>0.0</v>
      </c>
      <c r="P45" s="40">
        <v>0.0</v>
      </c>
      <c r="Q45" s="40">
        <v>0.0</v>
      </c>
      <c r="R45" s="40">
        <v>0.0</v>
      </c>
      <c r="S45" s="40">
        <v>0.0</v>
      </c>
      <c r="T45" s="40">
        <v>0.0</v>
      </c>
      <c r="U45" s="40">
        <v>0.0</v>
      </c>
      <c r="V45" s="40">
        <v>0.0</v>
      </c>
      <c r="W45" s="40">
        <v>0.0</v>
      </c>
      <c r="X45" s="31">
        <v>0.0</v>
      </c>
      <c r="Y45" s="31">
        <v>0.0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0.0</v>
      </c>
      <c r="AG45" s="31">
        <v>0.0</v>
      </c>
      <c r="AH45" s="31">
        <v>0.0</v>
      </c>
      <c r="AI45" s="31">
        <v>0.0</v>
      </c>
      <c r="AJ45" s="31">
        <v>0.0</v>
      </c>
      <c r="AK45" s="31">
        <v>0.0</v>
      </c>
      <c r="AL45" s="31">
        <v>0.0</v>
      </c>
      <c r="AM45" s="31">
        <v>0.0</v>
      </c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 t="str">
        <f t="shared" ref="F46:G46" si="39">J46</f>
        <v/>
      </c>
      <c r="G46" s="55">
        <f t="shared" si="39"/>
        <v>0</v>
      </c>
      <c r="H46" s="32" t="str">
        <f t="shared" si="34"/>
        <v>-</v>
      </c>
      <c r="I46" s="30"/>
      <c r="J46" s="40"/>
      <c r="K46" s="40">
        <v>0.0</v>
      </c>
      <c r="L46" s="40">
        <v>0.0</v>
      </c>
      <c r="M46" s="40">
        <v>0.0</v>
      </c>
      <c r="N46" s="40">
        <v>0.0</v>
      </c>
      <c r="O46" s="40">
        <v>0.0</v>
      </c>
      <c r="P46" s="40">
        <v>0.0</v>
      </c>
      <c r="Q46" s="40">
        <v>0.0</v>
      </c>
      <c r="R46" s="40">
        <v>0.0</v>
      </c>
      <c r="S46" s="40">
        <v>0.0</v>
      </c>
      <c r="T46" s="40">
        <v>0.0</v>
      </c>
      <c r="U46" s="40">
        <v>0.0</v>
      </c>
      <c r="V46" s="40">
        <v>0.0</v>
      </c>
      <c r="W46" s="40">
        <v>0.0</v>
      </c>
      <c r="X46" s="31">
        <v>0.0</v>
      </c>
      <c r="Y46" s="31">
        <v>0.0</v>
      </c>
      <c r="Z46" s="31">
        <v>0.0</v>
      </c>
      <c r="AA46" s="31">
        <v>0.0</v>
      </c>
      <c r="AB46" s="31">
        <v>0.0</v>
      </c>
      <c r="AC46" s="31">
        <v>0.0</v>
      </c>
      <c r="AD46" s="31">
        <v>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 t="str">
        <f t="shared" ref="F47:G47" si="40">J47</f>
        <v/>
      </c>
      <c r="G47" s="55">
        <f t="shared" si="40"/>
        <v>0</v>
      </c>
      <c r="H47" s="32" t="str">
        <f t="shared" si="34"/>
        <v>-</v>
      </c>
      <c r="I47" s="30"/>
      <c r="J47" s="40"/>
      <c r="K47" s="40">
        <v>0.0</v>
      </c>
      <c r="L47" s="40">
        <v>0.0</v>
      </c>
      <c r="M47" s="40">
        <v>0.0</v>
      </c>
      <c r="N47" s="40">
        <v>0.0</v>
      </c>
      <c r="O47" s="40">
        <v>0.0</v>
      </c>
      <c r="P47" s="40">
        <v>0.0</v>
      </c>
      <c r="Q47" s="40">
        <v>0.0</v>
      </c>
      <c r="R47" s="40">
        <v>0.0</v>
      </c>
      <c r="S47" s="40">
        <v>0.0</v>
      </c>
      <c r="T47" s="40">
        <v>0.0</v>
      </c>
      <c r="U47" s="40">
        <v>0.0</v>
      </c>
      <c r="V47" s="40">
        <v>0.0</v>
      </c>
      <c r="W47" s="40">
        <v>0.0</v>
      </c>
      <c r="X47" s="31">
        <v>0.0</v>
      </c>
      <c r="Y47" s="31">
        <v>0.0</v>
      </c>
      <c r="Z47" s="31">
        <v>0.0</v>
      </c>
      <c r="AA47" s="31">
        <v>0.0</v>
      </c>
      <c r="AB47" s="31">
        <v>0.0</v>
      </c>
      <c r="AC47" s="31">
        <v>0.0</v>
      </c>
      <c r="AD47" s="31">
        <v>0.0</v>
      </c>
      <c r="AE47" s="31">
        <v>0.0</v>
      </c>
      <c r="AF47" s="31">
        <v>0.0</v>
      </c>
      <c r="AG47" s="31">
        <v>0.0</v>
      </c>
      <c r="AH47" s="31">
        <v>0.0</v>
      </c>
      <c r="AI47" s="31">
        <v>0.0</v>
      </c>
      <c r="AJ47" s="31">
        <v>0.0</v>
      </c>
      <c r="AK47" s="31">
        <v>0.0</v>
      </c>
      <c r="AL47" s="31">
        <v>0.0</v>
      </c>
      <c r="AM47" s="31">
        <v>0.0</v>
      </c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 t="str">
        <f t="shared" ref="F48:G48" si="41">J48</f>
        <v/>
      </c>
      <c r="G48" s="55">
        <f t="shared" si="41"/>
        <v>-0.318143947</v>
      </c>
      <c r="H48" s="32">
        <f t="shared" si="34"/>
        <v>-1</v>
      </c>
      <c r="I48" s="30"/>
      <c r="J48" s="40"/>
      <c r="K48" s="40">
        <v>-0.3181439470460058</v>
      </c>
      <c r="L48" s="40">
        <v>0.00296276057533885</v>
      </c>
      <c r="M48" s="40">
        <v>0.006150317529309749</v>
      </c>
      <c r="N48" s="40">
        <v>6.231535922487465E-4</v>
      </c>
      <c r="O48" s="40">
        <v>1.1743799089435456E-4</v>
      </c>
      <c r="P48" s="40">
        <v>0.0017317157968377267</v>
      </c>
      <c r="Q48" s="40">
        <v>0.007006204900965609</v>
      </c>
      <c r="R48" s="40">
        <v>0.003532846319434332</v>
      </c>
      <c r="S48" s="40">
        <v>0.0020028877427146117</v>
      </c>
      <c r="T48" s="40">
        <v>5.902253424660714E-4</v>
      </c>
      <c r="U48" s="40">
        <v>2.981438998322067E-4</v>
      </c>
      <c r="V48" s="40">
        <v>2.552903312617991E-4</v>
      </c>
      <c r="W48" s="40">
        <v>1.8717901257389797E-4</v>
      </c>
      <c r="X48" s="31">
        <v>1.4003310151837036E-4</v>
      </c>
      <c r="Y48" s="31">
        <v>2.830148333307482E-16</v>
      </c>
      <c r="Z48" s="31">
        <v>-6.6825655325731654E-18</v>
      </c>
      <c r="AA48" s="31">
        <v>4.1470492421961517E-16</v>
      </c>
      <c r="AB48" s="31">
        <v>-4.828768615523278E-16</v>
      </c>
      <c r="AC48" s="31">
        <v>2.5355666056252664E-16</v>
      </c>
      <c r="AD48" s="31">
        <v>9.63610920780267E-17</v>
      </c>
      <c r="AE48" s="31">
        <v>-1.16829167935098E-16</v>
      </c>
      <c r="AF48" s="31">
        <v>1.8723712230634618E-5</v>
      </c>
      <c r="AG48" s="31">
        <v>1.4859456562249046E-4</v>
      </c>
      <c r="AH48" s="31">
        <v>9.40050046938616E-5</v>
      </c>
      <c r="AI48" s="31">
        <v>1.1660005153641988E-4</v>
      </c>
      <c r="AJ48" s="31">
        <v>1.2472875335157375E-4</v>
      </c>
      <c r="AK48" s="31">
        <v>1.473357152736961E-4</v>
      </c>
      <c r="AL48" s="31">
        <v>2.1734051879543E-6</v>
      </c>
      <c r="AM48" s="31">
        <v>0.0</v>
      </c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 t="str">
        <f t="shared" ref="F51:G51" si="42">J51</f>
        <v/>
      </c>
      <c r="G51" s="55">
        <f t="shared" si="42"/>
        <v>1</v>
      </c>
      <c r="H51" s="32">
        <f t="shared" ref="H51:H57" si="44">IFERROR(F51/G51-1,"-")</f>
        <v>-1</v>
      </c>
      <c r="J51" s="58"/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  <c r="AD51" s="59">
        <v>1.0</v>
      </c>
    </row>
    <row r="52">
      <c r="C52" s="60" t="s">
        <v>44</v>
      </c>
      <c r="D52" s="39" t="s">
        <v>10</v>
      </c>
      <c r="F52" s="55" t="str">
        <f t="shared" ref="F52:G52" si="43">J52</f>
        <v/>
      </c>
      <c r="G52" s="55">
        <f t="shared" si="43"/>
        <v>0</v>
      </c>
      <c r="H52" s="32" t="str">
        <f t="shared" si="44"/>
        <v>-</v>
      </c>
      <c r="J52" s="58"/>
      <c r="K52" s="58">
        <v>0.0</v>
      </c>
      <c r="L52" s="58">
        <v>0.0</v>
      </c>
      <c r="M52" s="58">
        <v>0.0</v>
      </c>
      <c r="N52" s="58">
        <v>0.0</v>
      </c>
      <c r="O52" s="58">
        <v>0.0</v>
      </c>
      <c r="P52" s="58">
        <v>0.0</v>
      </c>
      <c r="Q52" s="58">
        <v>0.0</v>
      </c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31">
        <v>0.0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  <c r="AD52" s="59">
        <v>0.0</v>
      </c>
    </row>
    <row r="53">
      <c r="C53" s="60" t="s">
        <v>45</v>
      </c>
      <c r="D53" s="39" t="s">
        <v>10</v>
      </c>
      <c r="F53" s="55" t="str">
        <f t="shared" ref="F53:G53" si="45">J53</f>
        <v/>
      </c>
      <c r="G53" s="55">
        <f t="shared" si="45"/>
        <v>0</v>
      </c>
      <c r="H53" s="32" t="str">
        <f t="shared" si="44"/>
        <v>-</v>
      </c>
      <c r="J53" s="58"/>
      <c r="K53" s="58">
        <v>0.0</v>
      </c>
      <c r="L53" s="58">
        <v>0.0</v>
      </c>
      <c r="M53" s="58">
        <v>0.0</v>
      </c>
      <c r="N53" s="58">
        <v>0.0</v>
      </c>
      <c r="O53" s="58">
        <v>0.0</v>
      </c>
      <c r="P53" s="58">
        <v>0.0</v>
      </c>
      <c r="Q53" s="58">
        <v>0.0</v>
      </c>
      <c r="R53" s="58">
        <v>0.0</v>
      </c>
      <c r="S53" s="58">
        <v>0.0</v>
      </c>
      <c r="T53" s="58">
        <v>0.0</v>
      </c>
      <c r="U53" s="58">
        <v>0.0</v>
      </c>
      <c r="V53" s="58">
        <v>0.0</v>
      </c>
      <c r="W53" s="58">
        <v>0.0</v>
      </c>
      <c r="X53" s="31">
        <v>0.0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  <c r="AD53" s="59">
        <v>0.0</v>
      </c>
    </row>
    <row r="54">
      <c r="C54" s="60" t="s">
        <v>46</v>
      </c>
      <c r="D54" s="39" t="s">
        <v>10</v>
      </c>
      <c r="F54" s="55" t="str">
        <f t="shared" ref="F54:G54" si="46">J54</f>
        <v/>
      </c>
      <c r="G54" s="55">
        <f t="shared" si="46"/>
        <v>0</v>
      </c>
      <c r="H54" s="32" t="str">
        <f t="shared" si="44"/>
        <v>-</v>
      </c>
      <c r="J54" s="58"/>
      <c r="K54" s="58">
        <v>0.0</v>
      </c>
      <c r="L54" s="58">
        <v>0.0</v>
      </c>
      <c r="M54" s="58">
        <v>0.0</v>
      </c>
      <c r="N54" s="58">
        <v>0.0</v>
      </c>
      <c r="O54" s="58">
        <v>0.0</v>
      </c>
      <c r="P54" s="58">
        <v>0.0</v>
      </c>
      <c r="Q54" s="58">
        <v>0.0</v>
      </c>
      <c r="R54" s="58">
        <v>0.0</v>
      </c>
      <c r="S54" s="58">
        <v>0.0</v>
      </c>
      <c r="T54" s="58">
        <v>0.0</v>
      </c>
      <c r="U54" s="58">
        <v>0.0</v>
      </c>
      <c r="V54" s="58">
        <v>0.0</v>
      </c>
      <c r="W54" s="58">
        <v>0.0</v>
      </c>
      <c r="X54" s="31">
        <v>0.0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  <c r="AD54" s="59">
        <v>0.0</v>
      </c>
    </row>
    <row r="55">
      <c r="C55" s="60" t="s">
        <v>47</v>
      </c>
      <c r="D55" s="39" t="s">
        <v>10</v>
      </c>
      <c r="F55" s="55" t="str">
        <f t="shared" ref="F55:G55" si="47">J55</f>
        <v/>
      </c>
      <c r="G55" s="55">
        <f t="shared" si="47"/>
        <v>0</v>
      </c>
      <c r="H55" s="32" t="str">
        <f t="shared" si="44"/>
        <v>-</v>
      </c>
      <c r="J55" s="58"/>
      <c r="K55" s="58">
        <v>0.0</v>
      </c>
      <c r="L55" s="58">
        <v>0.0</v>
      </c>
      <c r="M55" s="58">
        <v>0.0</v>
      </c>
      <c r="N55" s="58">
        <v>0.0</v>
      </c>
      <c r="O55" s="58">
        <v>0.0</v>
      </c>
      <c r="P55" s="58">
        <v>0.0</v>
      </c>
      <c r="Q55" s="58">
        <v>0.0</v>
      </c>
      <c r="R55" s="58">
        <v>0.0</v>
      </c>
      <c r="S55" s="58">
        <v>0.0</v>
      </c>
      <c r="T55" s="58">
        <v>0.0</v>
      </c>
      <c r="U55" s="58">
        <v>0.0</v>
      </c>
      <c r="V55" s="58">
        <v>0.0</v>
      </c>
      <c r="W55" s="58">
        <v>0.0</v>
      </c>
      <c r="X55" s="31">
        <v>0.0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  <c r="AD55" s="59">
        <v>0.0</v>
      </c>
    </row>
    <row r="56">
      <c r="C56" s="60" t="s">
        <v>48</v>
      </c>
      <c r="D56" s="39" t="s">
        <v>10</v>
      </c>
      <c r="F56" s="55" t="str">
        <f t="shared" ref="F56:G56" si="48">J56</f>
        <v/>
      </c>
      <c r="G56" s="55">
        <f t="shared" si="48"/>
        <v>0</v>
      </c>
      <c r="H56" s="32" t="str">
        <f t="shared" si="44"/>
        <v>-</v>
      </c>
      <c r="J56" s="58"/>
      <c r="K56" s="58">
        <v>0.0</v>
      </c>
      <c r="L56" s="58">
        <v>0.0</v>
      </c>
      <c r="M56" s="58">
        <v>0.0</v>
      </c>
      <c r="N56" s="58">
        <v>0.0</v>
      </c>
      <c r="O56" s="58">
        <v>0.0</v>
      </c>
      <c r="P56" s="58">
        <v>0.0</v>
      </c>
      <c r="Q56" s="58">
        <v>0.0</v>
      </c>
      <c r="R56" s="58">
        <v>0.0</v>
      </c>
      <c r="S56" s="58">
        <v>0.0</v>
      </c>
      <c r="T56" s="58">
        <v>0.0</v>
      </c>
      <c r="U56" s="58">
        <v>0.0</v>
      </c>
      <c r="V56" s="58">
        <v>0.0</v>
      </c>
      <c r="W56" s="58">
        <v>0.0</v>
      </c>
      <c r="X56" s="31">
        <v>0.0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  <c r="AD56" s="59">
        <v>0.0</v>
      </c>
    </row>
    <row r="57">
      <c r="C57" s="60" t="s">
        <v>49</v>
      </c>
      <c r="D57" s="39" t="s">
        <v>10</v>
      </c>
      <c r="F57" s="55" t="str">
        <f t="shared" ref="F57:G57" si="49">J57</f>
        <v/>
      </c>
      <c r="G57" s="55">
        <f t="shared" si="49"/>
        <v>1</v>
      </c>
      <c r="H57" s="32">
        <f t="shared" si="44"/>
        <v>-1</v>
      </c>
      <c r="J57" s="58"/>
      <c r="K57" s="58">
        <v>1.0</v>
      </c>
      <c r="L57" s="58">
        <v>1.0</v>
      </c>
      <c r="M57" s="58">
        <v>1.0</v>
      </c>
      <c r="N57" s="58">
        <v>1.0</v>
      </c>
      <c r="O57" s="58">
        <v>1.0</v>
      </c>
      <c r="P57" s="58">
        <v>1.0</v>
      </c>
      <c r="Q57" s="58">
        <v>1.0</v>
      </c>
      <c r="R57" s="58">
        <v>1.0</v>
      </c>
      <c r="S57" s="58">
        <v>1.0</v>
      </c>
      <c r="T57" s="58">
        <v>1.0</v>
      </c>
      <c r="U57" s="58">
        <v>1.0</v>
      </c>
      <c r="V57" s="58">
        <v>1.0</v>
      </c>
      <c r="W57" s="58">
        <v>1.0</v>
      </c>
      <c r="X57" s="31">
        <v>1.0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  <c r="AD57" s="59">
        <v>1.0</v>
      </c>
    </row>
    <row r="58">
      <c r="D58" s="3"/>
      <c r="F58" s="4"/>
      <c r="G58" s="4"/>
      <c r="H58" s="5"/>
    </row>
    <row r="59">
      <c r="D59" s="3"/>
      <c r="F59" s="4"/>
      <c r="G59" s="4"/>
      <c r="H59" s="5"/>
    </row>
    <row r="60">
      <c r="D60" s="3"/>
      <c r="F60" s="4"/>
      <c r="G60" s="4"/>
      <c r="H60" s="5"/>
    </row>
    <row r="61">
      <c r="D61" s="3"/>
      <c r="F61" s="4"/>
      <c r="G61" s="4"/>
      <c r="H61" s="5"/>
    </row>
    <row r="62">
      <c r="D62" s="3"/>
      <c r="F62" s="4"/>
      <c r="G62" s="4"/>
      <c r="H62" s="5"/>
    </row>
    <row r="63">
      <c r="D63" s="3"/>
      <c r="F63" s="4"/>
      <c r="G63" s="4"/>
      <c r="H63" s="5"/>
    </row>
    <row r="64">
      <c r="D64" s="3"/>
      <c r="F64" s="4"/>
      <c r="G64" s="4"/>
      <c r="H64" s="5"/>
    </row>
    <row r="65">
      <c r="D65" s="3"/>
      <c r="F65" s="4"/>
      <c r="G65" s="4"/>
      <c r="H65" s="5"/>
    </row>
    <row r="66">
      <c r="D66" s="3"/>
      <c r="F66" s="4"/>
      <c r="G66" s="4"/>
      <c r="H66" s="5"/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2"/>
    </customSheetView>
  </customSheetViews>
  <mergeCells count="1">
    <mergeCell ref="C1:C2"/>
  </mergeCells>
  <conditionalFormatting sqref="H6 H8:H12 H14:H16 H18:H19 H21:H22 H2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ollapsed="1" customWidth="1" min="1" max="1" width="2.25"/>
    <col customWidth="1" hidden="1" min="2" max="2" width="61.13" outlineLevel="1"/>
    <col customWidth="1" min="3" max="3" width="41.0"/>
    <col customWidth="1" min="4" max="4" width="6.63"/>
    <col customWidth="1" min="5" max="5" width="1.25"/>
    <col customWidth="1" min="9" max="9" width="1.5"/>
  </cols>
  <sheetData>
    <row r="1" ht="7.5" customHeight="1">
      <c r="C1" s="2" t="s">
        <v>76</v>
      </c>
      <c r="D1" s="3"/>
      <c r="F1" s="4"/>
      <c r="G1" s="4"/>
      <c r="H1" s="5"/>
    </row>
    <row r="2" ht="17.25" customHeight="1">
      <c r="D2" s="6"/>
      <c r="F2" s="4"/>
      <c r="G2" s="4"/>
      <c r="H2" s="7" t="s">
        <v>1</v>
      </c>
      <c r="J2" s="8">
        <f>ID!J2</f>
        <v>46000</v>
      </c>
    </row>
    <row r="3" ht="44.25" customHeight="1">
      <c r="C3" s="2" t="s">
        <v>2</v>
      </c>
      <c r="D3" s="3"/>
      <c r="E3" s="10"/>
      <c r="F3" s="91" t="s">
        <v>73</v>
      </c>
      <c r="G3" s="91" t="s">
        <v>74</v>
      </c>
      <c r="H3" s="12" t="s">
        <v>3</v>
      </c>
      <c r="I3" s="10"/>
      <c r="J3" s="13">
        <v>45992.0</v>
      </c>
      <c r="K3" s="13">
        <v>45962.0</v>
      </c>
      <c r="L3" s="14">
        <v>45931.0</v>
      </c>
      <c r="M3" s="14">
        <v>45901.0</v>
      </c>
      <c r="N3" s="14">
        <v>45870.0</v>
      </c>
      <c r="O3" s="13">
        <v>45839.0</v>
      </c>
      <c r="P3" s="13">
        <v>45809.0</v>
      </c>
      <c r="Q3" s="13">
        <v>45778.0</v>
      </c>
      <c r="R3" s="13">
        <v>45748.0</v>
      </c>
      <c r="S3" s="13">
        <v>45717.0</v>
      </c>
      <c r="T3" s="13">
        <v>45689.0</v>
      </c>
      <c r="U3" s="13">
        <v>45658.0</v>
      </c>
      <c r="V3" s="13">
        <v>45627.0</v>
      </c>
      <c r="W3" s="13">
        <v>45597.0</v>
      </c>
      <c r="X3" s="14">
        <v>45566.0</v>
      </c>
      <c r="Y3" s="14">
        <v>45536.0</v>
      </c>
      <c r="Z3" s="14">
        <v>45505.0</v>
      </c>
      <c r="AA3" s="13">
        <v>45474.0</v>
      </c>
      <c r="AB3" s="13">
        <v>45444.0</v>
      </c>
      <c r="AC3" s="13">
        <v>45413.0</v>
      </c>
      <c r="AD3" s="13">
        <v>45383.0</v>
      </c>
      <c r="AE3" s="13">
        <v>45352.0</v>
      </c>
      <c r="AF3" s="13">
        <v>45323.0</v>
      </c>
      <c r="AG3" s="13">
        <v>45292.0</v>
      </c>
      <c r="AH3" s="13">
        <v>45261.0</v>
      </c>
      <c r="AI3" s="13">
        <v>45231.0</v>
      </c>
      <c r="AJ3" s="70">
        <v>45200.0</v>
      </c>
      <c r="AK3" s="70">
        <v>45170.0</v>
      </c>
      <c r="AL3" s="71">
        <v>45139.0</v>
      </c>
      <c r="AM3" s="71">
        <v>45108.0</v>
      </c>
      <c r="AN3" s="71">
        <v>45078.0</v>
      </c>
      <c r="AO3" s="71">
        <v>45047.0</v>
      </c>
      <c r="AP3" s="71">
        <v>45017.0</v>
      </c>
      <c r="AQ3" s="70">
        <v>44986.0</v>
      </c>
      <c r="AR3" s="70">
        <v>44958.0</v>
      </c>
      <c r="AS3" s="70">
        <v>44927.0</v>
      </c>
      <c r="AT3" s="70">
        <v>44896.0</v>
      </c>
      <c r="AU3" s="70">
        <v>44866.0</v>
      </c>
      <c r="AV3" s="70">
        <v>44835.0</v>
      </c>
      <c r="AW3" s="70">
        <v>44805.0</v>
      </c>
      <c r="AX3" s="72">
        <v>44774.0</v>
      </c>
      <c r="AY3" s="73">
        <v>44743.0</v>
      </c>
      <c r="AZ3" s="73">
        <v>44713.0</v>
      </c>
      <c r="BA3" s="73">
        <v>44682.0</v>
      </c>
      <c r="BB3" s="73">
        <v>44652.0</v>
      </c>
      <c r="BC3" s="73">
        <v>44621.0</v>
      </c>
      <c r="BD3" s="73">
        <v>44593.0</v>
      </c>
      <c r="BE3" s="73">
        <v>44562.0</v>
      </c>
    </row>
    <row r="4">
      <c r="A4" s="15"/>
      <c r="B4" s="15"/>
      <c r="C4" s="15"/>
      <c r="D4" s="16"/>
      <c r="E4" s="17"/>
      <c r="F4" s="18"/>
      <c r="G4" s="18"/>
      <c r="H4" s="19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>
      <c r="A5" s="15"/>
      <c r="B5" s="15"/>
      <c r="C5" s="20"/>
      <c r="D5" s="21" t="s">
        <v>4</v>
      </c>
      <c r="E5" s="17"/>
      <c r="F5" s="22"/>
      <c r="G5" s="22"/>
      <c r="H5" s="23"/>
      <c r="I5" s="17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5"/>
      <c r="BB5" s="25"/>
      <c r="BC5" s="25"/>
      <c r="BD5" s="25"/>
      <c r="BE5" s="25"/>
    </row>
    <row r="6">
      <c r="A6" s="26"/>
      <c r="B6" s="27" t="s">
        <v>5</v>
      </c>
      <c r="C6" s="28" t="s">
        <v>5</v>
      </c>
      <c r="D6" s="29" t="s">
        <v>6</v>
      </c>
      <c r="E6" s="30"/>
      <c r="F6" s="31">
        <f t="shared" ref="F6:G6" si="1">J6</f>
        <v>77833.22222</v>
      </c>
      <c r="G6" s="31">
        <f t="shared" si="1"/>
        <v>77873.06667</v>
      </c>
      <c r="H6" s="32">
        <f>IFERROR(F6/G6-1,"-")</f>
        <v>-0.0005116588591</v>
      </c>
      <c r="I6" s="30"/>
      <c r="J6" s="31">
        <v>77833.22222222222</v>
      </c>
      <c r="K6" s="31">
        <v>77873.06666666667</v>
      </c>
      <c r="L6" s="31">
        <v>79407.7741935484</v>
      </c>
      <c r="M6" s="31">
        <v>84169.0</v>
      </c>
      <c r="N6" s="31">
        <v>96633.51612903226</v>
      </c>
      <c r="O6" s="31">
        <v>103823.09677419355</v>
      </c>
      <c r="P6" s="31">
        <v>109479.43333333333</v>
      </c>
      <c r="Q6" s="31">
        <v>109146.29032258065</v>
      </c>
      <c r="R6" s="31">
        <v>114493.53333333334</v>
      </c>
      <c r="S6" s="31">
        <v>110199.58064516129</v>
      </c>
      <c r="T6" s="31">
        <v>118064.53571428571</v>
      </c>
      <c r="U6" s="31">
        <v>126932.2258064516</v>
      </c>
      <c r="V6" s="31">
        <v>146635.51612903227</v>
      </c>
      <c r="W6" s="31">
        <v>164714.7</v>
      </c>
      <c r="X6" s="31">
        <v>167879.38709677418</v>
      </c>
      <c r="Y6" s="31">
        <v>183607.83333333334</v>
      </c>
      <c r="Z6" s="31">
        <v>205516.16129032258</v>
      </c>
      <c r="AA6" s="31">
        <v>245915.2258064516</v>
      </c>
      <c r="AB6" s="31">
        <v>250358.56666666668</v>
      </c>
      <c r="AC6" s="31">
        <v>274771.0967741936</v>
      </c>
      <c r="AD6" s="31">
        <v>303914.36666666664</v>
      </c>
      <c r="AE6" s="31">
        <v>326583.93548387097</v>
      </c>
      <c r="AF6" s="31">
        <v>383909.4482758621</v>
      </c>
      <c r="AG6" s="31">
        <v>427651.06451612903</v>
      </c>
      <c r="AH6" s="31">
        <v>370750.67741935485</v>
      </c>
      <c r="AI6" s="31">
        <v>402162.4666666667</v>
      </c>
      <c r="AJ6" s="31">
        <v>399390.48387096776</v>
      </c>
      <c r="AK6" s="31">
        <v>434972.1</v>
      </c>
      <c r="AL6" s="31">
        <v>448133.5483870968</v>
      </c>
      <c r="AM6" s="31">
        <v>454278.6129032258</v>
      </c>
      <c r="AN6" s="31">
        <v>454510.0</v>
      </c>
      <c r="AO6" s="31">
        <v>444196.3870967742</v>
      </c>
      <c r="AP6" s="31">
        <v>439295.3</v>
      </c>
      <c r="AQ6" s="31">
        <v>466375.93548387097</v>
      </c>
      <c r="AR6" s="31">
        <v>489706.96428571426</v>
      </c>
      <c r="AS6" s="31">
        <v>491599.8387096774</v>
      </c>
      <c r="AT6" s="31">
        <v>407767.3870967742</v>
      </c>
      <c r="AU6" s="31">
        <v>417812.6666666667</v>
      </c>
      <c r="AV6" s="31">
        <v>385852.1935483871</v>
      </c>
      <c r="AW6" s="31">
        <v>460966.06666666665</v>
      </c>
      <c r="AX6" s="31">
        <v>579892.3870967742</v>
      </c>
      <c r="AY6" s="33">
        <v>534377.2903225806</v>
      </c>
      <c r="AZ6" s="33">
        <v>539846.3666666667</v>
      </c>
      <c r="BA6" s="33">
        <v>552685.9354838709</v>
      </c>
      <c r="BB6" s="33">
        <v>516561.36666666664</v>
      </c>
      <c r="BC6" s="33">
        <v>557504.0</v>
      </c>
      <c r="BD6" s="33">
        <v>574407.0</v>
      </c>
      <c r="BE6" s="33">
        <v>526399.6129032258</v>
      </c>
    </row>
    <row r="7">
      <c r="D7" s="3"/>
      <c r="F7" s="4"/>
      <c r="G7" s="4"/>
      <c r="H7" s="5"/>
    </row>
    <row r="8">
      <c r="A8" s="26"/>
      <c r="B8" s="27" t="s">
        <v>7</v>
      </c>
      <c r="C8" s="28" t="s">
        <v>8</v>
      </c>
      <c r="D8" s="29" t="s">
        <v>6</v>
      </c>
      <c r="E8" s="30"/>
      <c r="F8" s="31">
        <f t="shared" ref="F8:G8" si="2">J8</f>
        <v>1966.555556</v>
      </c>
      <c r="G8" s="31">
        <f t="shared" si="2"/>
        <v>1882.866667</v>
      </c>
      <c r="H8" s="32">
        <f t="shared" ref="H8:H12" si="4">IFERROR(F8/G8-1,"-")</f>
        <v>0.04444759173</v>
      </c>
      <c r="I8" s="30"/>
      <c r="J8" s="31">
        <v>1966.5555555555557</v>
      </c>
      <c r="K8" s="31">
        <v>1882.8666666666666</v>
      </c>
      <c r="L8" s="31">
        <v>1817.7096774193549</v>
      </c>
      <c r="M8" s="31">
        <v>1933.0</v>
      </c>
      <c r="N8" s="31">
        <v>2421.0967741935483</v>
      </c>
      <c r="O8" s="31">
        <v>2656.8387096774195</v>
      </c>
      <c r="P8" s="31">
        <v>2558.366666666667</v>
      </c>
      <c r="Q8" s="31">
        <v>2834.451612903226</v>
      </c>
      <c r="R8" s="31">
        <v>2801.266666666667</v>
      </c>
      <c r="S8" s="31">
        <v>2796.967741935484</v>
      </c>
      <c r="T8" s="31">
        <v>2685.75</v>
      </c>
      <c r="U8" s="31">
        <v>3179.1612903225805</v>
      </c>
      <c r="V8" s="31">
        <v>4147.032258064516</v>
      </c>
      <c r="W8" s="31">
        <v>4973.466666666666</v>
      </c>
      <c r="X8" s="31">
        <v>5231.4838709677415</v>
      </c>
      <c r="Y8" s="31">
        <v>5667.8</v>
      </c>
      <c r="Z8" s="31">
        <v>6527.064516129032</v>
      </c>
      <c r="AA8" s="31">
        <v>8535.967741935483</v>
      </c>
      <c r="AB8" s="31">
        <v>9452.466666666667</v>
      </c>
      <c r="AC8" s="31">
        <v>10527.290322580646</v>
      </c>
      <c r="AD8" s="31">
        <v>13131.733333333334</v>
      </c>
      <c r="AE8" s="31">
        <v>13933.258064516129</v>
      </c>
      <c r="AF8" s="31">
        <v>15019.344827586207</v>
      </c>
      <c r="AG8" s="31">
        <v>18363.290322580644</v>
      </c>
      <c r="AH8" s="31">
        <v>18426.709677419356</v>
      </c>
      <c r="AI8" s="31">
        <v>18363.966666666667</v>
      </c>
      <c r="AJ8" s="36">
        <v>17769.774193548386</v>
      </c>
      <c r="AK8" s="36">
        <v>18704.1</v>
      </c>
      <c r="AL8" s="36">
        <v>19456.935483870966</v>
      </c>
      <c r="AM8" s="36">
        <v>21425.451612903227</v>
      </c>
      <c r="AN8" s="36">
        <v>22460.8</v>
      </c>
      <c r="AO8" s="36">
        <v>23322.064516129034</v>
      </c>
      <c r="AP8" s="36">
        <v>21454.7</v>
      </c>
      <c r="AQ8" s="36">
        <v>22697.935483870966</v>
      </c>
      <c r="AR8" s="36">
        <v>24170.75</v>
      </c>
      <c r="AS8" s="36">
        <v>26434.09677419355</v>
      </c>
      <c r="AT8" s="36">
        <v>23070.0</v>
      </c>
      <c r="AU8" s="36">
        <v>24291.866666666665</v>
      </c>
      <c r="AV8" s="36">
        <v>19834.25806451613</v>
      </c>
      <c r="AW8" s="36">
        <v>24336.233333333334</v>
      </c>
      <c r="AX8" s="36">
        <v>34673.645161290326</v>
      </c>
      <c r="AY8" s="37">
        <v>33753.3870967742</v>
      </c>
      <c r="AZ8" s="37"/>
      <c r="BA8" s="37"/>
      <c r="BB8" s="37"/>
      <c r="BC8" s="37"/>
      <c r="BD8" s="37"/>
      <c r="BE8" s="37"/>
    </row>
    <row r="9">
      <c r="A9" s="26"/>
      <c r="B9" s="27" t="s">
        <v>7</v>
      </c>
      <c r="C9" s="38" t="s">
        <v>9</v>
      </c>
      <c r="D9" s="39" t="s">
        <v>10</v>
      </c>
      <c r="E9" s="30"/>
      <c r="F9" s="40">
        <f t="shared" ref="F9:G9" si="3">J9</f>
        <v>0.02526627447</v>
      </c>
      <c r="G9" s="40">
        <f t="shared" si="3"/>
        <v>0.0241786634</v>
      </c>
      <c r="H9" s="32">
        <f t="shared" si="4"/>
        <v>0.04498226617</v>
      </c>
      <c r="I9" s="30"/>
      <c r="J9" s="40">
        <v>0.025266274470056346</v>
      </c>
      <c r="K9" s="40">
        <v>0.024178663397528968</v>
      </c>
      <c r="L9" s="40">
        <v>0.022890827703958457</v>
      </c>
      <c r="M9" s="40">
        <v>0.022965699960793166</v>
      </c>
      <c r="N9" s="40">
        <v>0.0250544207763352</v>
      </c>
      <c r="O9" s="40">
        <v>0.025590054546878127</v>
      </c>
      <c r="P9" s="40">
        <v>0.023368468293740407</v>
      </c>
      <c r="Q9" s="40">
        <v>0.025969289515255494</v>
      </c>
      <c r="R9" s="40">
        <v>0.024466592873076384</v>
      </c>
      <c r="S9" s="40">
        <v>0.02538092908848374</v>
      </c>
      <c r="T9" s="40">
        <v>0.022748151964104377</v>
      </c>
      <c r="U9" s="40">
        <v>0.025046132060822908</v>
      </c>
      <c r="V9" s="40">
        <v>0.028281226591894186</v>
      </c>
      <c r="W9" s="40">
        <v>0.03019443113860916</v>
      </c>
      <c r="X9" s="40">
        <v>0.031162157316860166</v>
      </c>
      <c r="Y9" s="40">
        <v>0.03086905333559661</v>
      </c>
      <c r="Z9" s="40">
        <v>0.03175937344853658</v>
      </c>
      <c r="AA9" s="40">
        <v>0.03471101764416061</v>
      </c>
      <c r="AB9" s="40">
        <v>0.037755714903304684</v>
      </c>
      <c r="AC9" s="40">
        <v>0.03831294647133849</v>
      </c>
      <c r="AD9" s="40">
        <v>0.04320866261559863</v>
      </c>
      <c r="AE9" s="40">
        <v>0.042663635747644583</v>
      </c>
      <c r="AF9" s="40">
        <v>0.039122102607888676</v>
      </c>
      <c r="AG9" s="40">
        <v>0.04293989152899224</v>
      </c>
      <c r="AH9" s="40">
        <v>0.049701081615494844</v>
      </c>
      <c r="AI9" s="40">
        <v>0.04566305458308143</v>
      </c>
      <c r="AJ9" s="36">
        <v>0.044492232316905474</v>
      </c>
      <c r="AK9" s="36">
        <v>0.043000689009708895</v>
      </c>
      <c r="AL9" s="36">
        <v>0.04341771678085593</v>
      </c>
      <c r="AM9" s="36">
        <v>0.04716368106342583</v>
      </c>
      <c r="AN9" s="36">
        <v>0.049417614573936765</v>
      </c>
      <c r="AO9" s="36">
        <v>0.05250394913961335</v>
      </c>
      <c r="AP9" s="36">
        <v>0.04883890175924942</v>
      </c>
      <c r="AQ9" s="36">
        <v>0.04866875358892943</v>
      </c>
      <c r="AR9" s="36">
        <v>0.04935757863941227</v>
      </c>
      <c r="AS9" s="36">
        <v>0.05377157332593157</v>
      </c>
      <c r="AT9" s="36">
        <v>0.056576373515925316</v>
      </c>
      <c r="AU9" s="36">
        <v>0.058140570175788504</v>
      </c>
      <c r="AV9" s="36">
        <v>0.051403771693289205</v>
      </c>
      <c r="AW9" s="36">
        <v>0.05279398006302995</v>
      </c>
      <c r="AX9" s="36">
        <v>0.05979324083712084</v>
      </c>
      <c r="AY9" s="37">
        <v>0.06316396244383575</v>
      </c>
      <c r="AZ9" s="37"/>
      <c r="BA9" s="37"/>
      <c r="BB9" s="37"/>
      <c r="BC9" s="37"/>
      <c r="BD9" s="37"/>
      <c r="BE9" s="37"/>
    </row>
    <row r="10">
      <c r="A10" s="26"/>
      <c r="B10" s="27" t="s">
        <v>7</v>
      </c>
      <c r="C10" s="28" t="s">
        <v>11</v>
      </c>
      <c r="D10" s="29" t="s">
        <v>6</v>
      </c>
      <c r="E10" s="30"/>
      <c r="F10" s="31">
        <f t="shared" ref="F10:G10" si="5">J10</f>
        <v>3704.444444</v>
      </c>
      <c r="G10" s="31">
        <f t="shared" si="5"/>
        <v>3367.866667</v>
      </c>
      <c r="H10" s="32">
        <f t="shared" si="4"/>
        <v>0.0999379759</v>
      </c>
      <c r="I10" s="30"/>
      <c r="J10" s="31">
        <v>3704.4444444444443</v>
      </c>
      <c r="K10" s="31">
        <v>3367.866666666667</v>
      </c>
      <c r="L10" s="31">
        <v>3385.9032258064517</v>
      </c>
      <c r="M10" s="31">
        <v>3470.4333333333334</v>
      </c>
      <c r="N10" s="31">
        <v>4380.8387096774195</v>
      </c>
      <c r="O10" s="31">
        <v>5034.709677419355</v>
      </c>
      <c r="P10" s="31">
        <v>4946.966666666666</v>
      </c>
      <c r="Q10" s="31">
        <v>5468.580645161291</v>
      </c>
      <c r="R10" s="31">
        <v>5430.066666666667</v>
      </c>
      <c r="S10" s="31">
        <v>5459.129032258064</v>
      </c>
      <c r="T10" s="31">
        <v>5042.428571428572</v>
      </c>
      <c r="U10" s="31">
        <v>6181.290322580645</v>
      </c>
      <c r="V10" s="31">
        <v>8609.225806451614</v>
      </c>
      <c r="W10" s="31">
        <v>10461.366666666667</v>
      </c>
      <c r="X10" s="31">
        <v>11143.354838709676</v>
      </c>
      <c r="Y10" s="31">
        <v>12518.2</v>
      </c>
      <c r="Z10" s="31">
        <v>15006.774193548386</v>
      </c>
      <c r="AA10" s="31">
        <v>18948.290322580644</v>
      </c>
      <c r="AB10" s="31">
        <v>16878.999999999996</v>
      </c>
      <c r="AC10" s="31">
        <v>18959.25806451613</v>
      </c>
      <c r="AD10" s="31">
        <v>24356.466666666667</v>
      </c>
      <c r="AE10" s="31">
        <v>25568.870967741936</v>
      </c>
      <c r="AF10" s="31">
        <v>27589.758620689656</v>
      </c>
      <c r="AG10" s="31">
        <v>34785.09677419355</v>
      </c>
      <c r="AH10" s="31">
        <v>35530.3870967742</v>
      </c>
      <c r="AI10" s="31">
        <v>34504.6</v>
      </c>
      <c r="AJ10" s="36">
        <v>32823.45161290323</v>
      </c>
      <c r="AK10" s="36">
        <v>33972.9</v>
      </c>
      <c r="AL10" s="36">
        <v>35226.58064516129</v>
      </c>
      <c r="AM10" s="36">
        <v>39155.22580645161</v>
      </c>
      <c r="AN10" s="36">
        <v>41898.6</v>
      </c>
      <c r="AO10" s="36">
        <v>43968.03225806452</v>
      </c>
      <c r="AP10" s="36">
        <v>40053.46666666667</v>
      </c>
      <c r="AQ10" s="36">
        <v>42602.225806451606</v>
      </c>
      <c r="AR10" s="36">
        <v>45491.678571428565</v>
      </c>
      <c r="AS10" s="36">
        <v>50741.16129032258</v>
      </c>
      <c r="AT10" s="36">
        <v>44036.32258064516</v>
      </c>
      <c r="AU10" s="36">
        <v>47329.19999999999</v>
      </c>
      <c r="AV10" s="36">
        <v>37007.354838709674</v>
      </c>
      <c r="AW10" s="36">
        <v>45909.9</v>
      </c>
      <c r="AX10" s="36">
        <v>70221.29032258065</v>
      </c>
      <c r="AY10" s="37">
        <v>67645.6451612903</v>
      </c>
      <c r="AZ10" s="37"/>
      <c r="BA10" s="37"/>
      <c r="BB10" s="37"/>
      <c r="BC10" s="37"/>
      <c r="BD10" s="37"/>
      <c r="BE10" s="37"/>
    </row>
    <row r="11">
      <c r="A11" s="27"/>
      <c r="B11" s="27"/>
      <c r="C11" s="38" t="s">
        <v>12</v>
      </c>
      <c r="D11" s="29" t="s">
        <v>6</v>
      </c>
      <c r="E11" s="30"/>
      <c r="F11" s="41">
        <f t="shared" ref="F11:G11" si="6">J11</f>
        <v>0.04759464325</v>
      </c>
      <c r="G11" s="41">
        <f t="shared" si="6"/>
        <v>0.04324815769</v>
      </c>
      <c r="H11" s="32">
        <f t="shared" si="4"/>
        <v>0.100501057</v>
      </c>
      <c r="I11" s="30"/>
      <c r="J11" s="41">
        <v>0.04759464324717095</v>
      </c>
      <c r="K11" s="41">
        <v>0.043248157685669676</v>
      </c>
      <c r="L11" s="41">
        <v>0.042639442550721246</v>
      </c>
      <c r="M11" s="41">
        <v>0.041231728229316415</v>
      </c>
      <c r="N11" s="41">
        <v>0.04533456801704077</v>
      </c>
      <c r="O11" s="41">
        <v>0.048493156473356044</v>
      </c>
      <c r="P11" s="41">
        <v>0.04518626481747104</v>
      </c>
      <c r="Q11" s="41">
        <v>0.05010322044843633</v>
      </c>
      <c r="R11" s="41">
        <v>0.0474268415741675</v>
      </c>
      <c r="S11" s="41">
        <v>0.049538564487248506</v>
      </c>
      <c r="T11" s="41">
        <v>0.042709087372614314</v>
      </c>
      <c r="U11" s="41">
        <v>0.04869756504550689</v>
      </c>
      <c r="V11" s="41">
        <v>0.05871173664963886</v>
      </c>
      <c r="W11" s="41">
        <v>0.06351204031374653</v>
      </c>
      <c r="X11" s="41">
        <v>0.06637714749510065</v>
      </c>
      <c r="Y11" s="41">
        <v>0.06817900833933192</v>
      </c>
      <c r="Z11" s="41">
        <v>0.07301992261498624</v>
      </c>
      <c r="AA11" s="41">
        <v>0.07705212339106632</v>
      </c>
      <c r="AB11" s="41">
        <v>0.0674193027413881</v>
      </c>
      <c r="AC11" s="41">
        <v>0.0690001906572321</v>
      </c>
      <c r="AD11" s="41">
        <v>0.08014253137753388</v>
      </c>
      <c r="AE11" s="41">
        <v>0.07829188208494936</v>
      </c>
      <c r="AF11" s="41">
        <v>0.0718652764202478</v>
      </c>
      <c r="AG11" s="41">
        <v>0.08133990456343555</v>
      </c>
      <c r="AH11" s="41">
        <v>0.09583364039706364</v>
      </c>
      <c r="AI11" s="41">
        <v>0.08579766353133898</v>
      </c>
      <c r="AJ11" s="31">
        <v>0.08218386000280266</v>
      </c>
      <c r="AK11" s="31">
        <v>0.07810363009489575</v>
      </c>
      <c r="AL11" s="31">
        <v>0.07860732759675615</v>
      </c>
      <c r="AM11" s="31">
        <v>0.08619209598315997</v>
      </c>
      <c r="AN11" s="31">
        <v>0.09218411036060813</v>
      </c>
      <c r="AO11" s="31">
        <v>0.09898331804415486</v>
      </c>
      <c r="AP11" s="31">
        <v>0.09117663372830684</v>
      </c>
      <c r="AQ11" s="31">
        <v>0.0913473928757736</v>
      </c>
      <c r="AR11" s="31">
        <v>0.0928957149665671</v>
      </c>
      <c r="AS11" s="31">
        <v>0.10321639124924252</v>
      </c>
      <c r="AT11" s="31">
        <v>0.10799373361900115</v>
      </c>
      <c r="AU11" s="31">
        <v>0.11327851876199697</v>
      </c>
      <c r="AV11" s="31">
        <v>0.0959107022261073</v>
      </c>
      <c r="AW11" s="31">
        <v>0.09959496657093053</v>
      </c>
      <c r="AX11" s="31">
        <v>0.12109365786666537</v>
      </c>
      <c r="AY11" s="33">
        <v>0.12658779926904368</v>
      </c>
      <c r="AZ11" s="33"/>
      <c r="BA11" s="33"/>
      <c r="BB11" s="33"/>
      <c r="BC11" s="33"/>
      <c r="BD11" s="33"/>
      <c r="BE11" s="33"/>
    </row>
    <row r="12">
      <c r="A12" s="26"/>
      <c r="B12" s="27" t="s">
        <v>13</v>
      </c>
      <c r="C12" s="28" t="s">
        <v>14</v>
      </c>
      <c r="D12" s="29" t="s">
        <v>6</v>
      </c>
      <c r="E12" s="30"/>
      <c r="F12" s="31">
        <f t="shared" ref="F12:G12" si="7">J12</f>
        <v>86038.49548</v>
      </c>
      <c r="G12" s="31">
        <f t="shared" si="7"/>
        <v>81882.22922</v>
      </c>
      <c r="H12" s="32">
        <f t="shared" si="4"/>
        <v>0.05075907556</v>
      </c>
      <c r="I12" s="30"/>
      <c r="J12" s="31">
        <v>86038.49547733196</v>
      </c>
      <c r="K12" s="31">
        <v>81882.2292171253</v>
      </c>
      <c r="L12" s="31">
        <v>79422.70134302501</v>
      </c>
      <c r="M12" s="31">
        <v>82048.29930571812</v>
      </c>
      <c r="N12" s="31">
        <v>101696.95647757116</v>
      </c>
      <c r="O12" s="31">
        <v>115484.81275425297</v>
      </c>
      <c r="P12" s="31">
        <v>102690.77377952458</v>
      </c>
      <c r="Q12" s="31">
        <v>113450.42200189442</v>
      </c>
      <c r="R12" s="31">
        <v>107556.54224292797</v>
      </c>
      <c r="S12" s="31">
        <v>109590.65279962576</v>
      </c>
      <c r="T12" s="31">
        <v>108419.05320957142</v>
      </c>
      <c r="U12" s="31">
        <v>124417.9093117349</v>
      </c>
      <c r="V12" s="31">
        <v>158163.38239419594</v>
      </c>
      <c r="W12" s="31">
        <v>184537.20681695623</v>
      </c>
      <c r="X12" s="31">
        <v>195236.7769055757</v>
      </c>
      <c r="Y12" s="31">
        <v>189842.62408577412</v>
      </c>
      <c r="Z12" s="31">
        <v>220604.28912832943</v>
      </c>
      <c r="AA12" s="31">
        <v>260797.21141873542</v>
      </c>
      <c r="AB12" s="31">
        <v>259471.6603262907</v>
      </c>
      <c r="AC12" s="31">
        <v>280333.0127113143</v>
      </c>
      <c r="AD12" s="31">
        <v>330570.28940812044</v>
      </c>
      <c r="AE12" s="31">
        <v>350651.4085865727</v>
      </c>
      <c r="AF12" s="31">
        <v>376243.9155790171</v>
      </c>
      <c r="AG12" s="31">
        <v>480920.11659406486</v>
      </c>
      <c r="AH12" s="31">
        <v>495768.0224054816</v>
      </c>
      <c r="AI12" s="31">
        <v>483007.7723427581</v>
      </c>
      <c r="AJ12" s="31">
        <v>444330.8610703122</v>
      </c>
      <c r="AK12" s="31">
        <v>488129.46475537564</v>
      </c>
      <c r="AL12" s="31">
        <v>541703.2335176553</v>
      </c>
      <c r="AM12" s="31">
        <v>579878.0348377896</v>
      </c>
      <c r="AN12" s="31">
        <v>581882.7518402435</v>
      </c>
      <c r="AO12" s="31">
        <v>607567.3621383677</v>
      </c>
      <c r="AP12" s="31">
        <v>578326.1833140486</v>
      </c>
      <c r="AQ12" s="31">
        <v>625536.0725631455</v>
      </c>
      <c r="AR12" s="31">
        <v>650185.8589837312</v>
      </c>
      <c r="AS12" s="31">
        <v>686881.5322381887</v>
      </c>
      <c r="AT12" s="31">
        <v>636049.4744090651</v>
      </c>
      <c r="AU12" s="31">
        <v>654931.60101493</v>
      </c>
      <c r="AV12" s="31">
        <v>493329.28113358637</v>
      </c>
      <c r="AW12" s="31">
        <v>561368.8184690654</v>
      </c>
      <c r="AX12" s="31">
        <v>774351.4895537258</v>
      </c>
      <c r="AY12" s="33">
        <v>727713.6015338231</v>
      </c>
      <c r="AZ12" s="33"/>
      <c r="BA12" s="33"/>
      <c r="BB12" s="33"/>
      <c r="BC12" s="33"/>
      <c r="BD12" s="33"/>
      <c r="BE12" s="33"/>
    </row>
    <row r="13">
      <c r="D13" s="3"/>
      <c r="F13" s="4"/>
      <c r="G13" s="4"/>
      <c r="H13" s="5"/>
    </row>
    <row r="14">
      <c r="A14" s="26"/>
      <c r="B14" s="27" t="s">
        <v>7</v>
      </c>
      <c r="C14" s="28" t="s">
        <v>15</v>
      </c>
      <c r="D14" s="29" t="s">
        <v>6</v>
      </c>
      <c r="E14" s="30"/>
      <c r="F14" s="31">
        <f t="shared" ref="F14:G14" si="8">J14</f>
        <v>517.6777657</v>
      </c>
      <c r="G14" s="31">
        <f t="shared" si="8"/>
        <v>457.1854281</v>
      </c>
      <c r="H14" s="32">
        <f t="shared" ref="H14:H16" si="10">IFERROR(F14/G14-1,"-")</f>
        <v>0.1323146668</v>
      </c>
      <c r="I14" s="30"/>
      <c r="J14" s="31">
        <v>517.6777656999999</v>
      </c>
      <c r="K14" s="31">
        <v>457.1854281300001</v>
      </c>
      <c r="L14" s="31">
        <v>400.9529205806451</v>
      </c>
      <c r="M14" s="31">
        <v>422.8166144015831</v>
      </c>
      <c r="N14" s="31">
        <v>739.051291895938</v>
      </c>
      <c r="O14" s="31">
        <v>707.6994155358057</v>
      </c>
      <c r="P14" s="31">
        <v>589.550653998199</v>
      </c>
      <c r="Q14" s="31">
        <v>543.0553381145012</v>
      </c>
      <c r="R14" s="31">
        <v>749.1231517988164</v>
      </c>
      <c r="S14" s="31">
        <v>976.7023894570855</v>
      </c>
      <c r="T14" s="31">
        <v>761.5192735114559</v>
      </c>
      <c r="U14" s="31">
        <v>1090.7349431554603</v>
      </c>
      <c r="V14" s="31">
        <v>1411.3563532481908</v>
      </c>
      <c r="W14" s="31">
        <v>1637.6357570264668</v>
      </c>
      <c r="X14" s="36">
        <v>1804.0125073136635</v>
      </c>
      <c r="Y14" s="36">
        <v>2296.2685484553713</v>
      </c>
      <c r="Z14" s="36">
        <v>3013.1704354776043</v>
      </c>
      <c r="AA14" s="36">
        <v>5322.763399374346</v>
      </c>
      <c r="AB14" s="36">
        <v>5295.230280097</v>
      </c>
      <c r="AC14" s="36">
        <v>5122.0398560198755</v>
      </c>
      <c r="AD14" s="36">
        <v>6260.234379048867</v>
      </c>
      <c r="AE14" s="36"/>
      <c r="AF14" s="36"/>
      <c r="AG14" s="36"/>
      <c r="AH14" s="36"/>
      <c r="AI14" s="36"/>
      <c r="AJ14" s="36"/>
      <c r="AK14" s="36">
        <v>5751.0301950672</v>
      </c>
      <c r="AL14" s="36">
        <v>5738.302412583442</v>
      </c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7"/>
      <c r="AZ14" s="37"/>
      <c r="BA14" s="37"/>
      <c r="BB14" s="37"/>
      <c r="BC14" s="37"/>
      <c r="BD14" s="37"/>
      <c r="BE14" s="37"/>
    </row>
    <row r="15">
      <c r="A15" s="26"/>
      <c r="B15" s="27" t="s">
        <v>7</v>
      </c>
      <c r="C15" s="28" t="s">
        <v>16</v>
      </c>
      <c r="D15" s="39" t="s">
        <v>10</v>
      </c>
      <c r="E15" s="30"/>
      <c r="F15" s="40">
        <f t="shared" ref="F15:G15" si="9">J15</f>
        <v>0.006016815645</v>
      </c>
      <c r="G15" s="40">
        <f t="shared" si="9"/>
        <v>0.005583451165</v>
      </c>
      <c r="H15" s="32">
        <f t="shared" si="10"/>
        <v>0.07761588083</v>
      </c>
      <c r="I15" s="30"/>
      <c r="J15" s="40">
        <v>0.006016815645461738</v>
      </c>
      <c r="K15" s="40">
        <v>0.0055834511651812945</v>
      </c>
      <c r="L15" s="40">
        <v>0.005048341516979355</v>
      </c>
      <c r="M15" s="40">
        <v>0.005153264820592279</v>
      </c>
      <c r="N15" s="40">
        <v>0.007267191836354834</v>
      </c>
      <c r="O15" s="40">
        <v>0.006128073455353489</v>
      </c>
      <c r="P15" s="40">
        <v>0.005741028451727851</v>
      </c>
      <c r="Q15" s="40">
        <v>0.004786719419214087</v>
      </c>
      <c r="R15" s="40">
        <v>0.006964924087154471</v>
      </c>
      <c r="S15" s="40">
        <v>0.008912278232732827</v>
      </c>
      <c r="T15" s="40">
        <v>0.007023850983456363</v>
      </c>
      <c r="U15" s="40">
        <v>0.008766703677865</v>
      </c>
      <c r="V15" s="40">
        <v>0.008923407756484493</v>
      </c>
      <c r="W15" s="40">
        <v>0.008874284949218124</v>
      </c>
      <c r="X15" s="36">
        <v>0.009240126455202422</v>
      </c>
      <c r="Y15" s="36">
        <v>0.012095642690957949</v>
      </c>
      <c r="Z15" s="36">
        <v>0.013658711928872741</v>
      </c>
      <c r="AA15" s="36">
        <v>0.020409587090362436</v>
      </c>
      <c r="AB15" s="36">
        <v>0.020407740380734236</v>
      </c>
      <c r="AC15" s="36">
        <v>0.018271268897233055</v>
      </c>
      <c r="AD15" s="36">
        <v>0.0189376800627113</v>
      </c>
      <c r="AE15" s="36"/>
      <c r="AF15" s="36"/>
      <c r="AG15" s="36"/>
      <c r="AH15" s="36"/>
      <c r="AI15" s="36"/>
      <c r="AJ15" s="36"/>
      <c r="AK15" s="36">
        <v>0.011781772276232718</v>
      </c>
      <c r="AL15" s="36">
        <v>0.010593073951803202</v>
      </c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7"/>
      <c r="AZ15" s="37"/>
      <c r="BA15" s="37"/>
      <c r="BB15" s="37"/>
      <c r="BC15" s="37"/>
      <c r="BD15" s="37"/>
      <c r="BE15" s="37"/>
    </row>
    <row r="16">
      <c r="A16" s="26"/>
      <c r="B16" s="27" t="s">
        <v>13</v>
      </c>
      <c r="C16" s="28" t="s">
        <v>17</v>
      </c>
      <c r="D16" s="29" t="s">
        <v>6</v>
      </c>
      <c r="E16" s="30"/>
      <c r="F16" s="36">
        <f t="shared" ref="F16:G16" si="11">J16</f>
        <v>19.06266008</v>
      </c>
      <c r="G16" s="36">
        <f t="shared" si="11"/>
        <v>17.60194131</v>
      </c>
      <c r="H16" s="32">
        <f t="shared" si="10"/>
        <v>0.08298623122</v>
      </c>
      <c r="I16" s="30"/>
      <c r="J16" s="36">
        <v>19.062660080940777</v>
      </c>
      <c r="K16" s="36">
        <v>17.601941309493675</v>
      </c>
      <c r="L16" s="36">
        <v>15.428055298563445</v>
      </c>
      <c r="M16" s="36">
        <v>14.944861423614087</v>
      </c>
      <c r="N16" s="36">
        <v>8.34575175388079</v>
      </c>
      <c r="O16" s="36">
        <v>10.590571816931302</v>
      </c>
      <c r="P16" s="36">
        <v>9.004796670306495</v>
      </c>
      <c r="Q16" s="36">
        <v>11.498945006891319</v>
      </c>
      <c r="R16" s="36">
        <v>9.400116411243712</v>
      </c>
      <c r="S16" s="36">
        <v>8.384120697926365</v>
      </c>
      <c r="T16" s="36">
        <v>8.853249881391788</v>
      </c>
      <c r="U16" s="36">
        <v>8.089503130107934</v>
      </c>
      <c r="V16" s="36">
        <v>9.476079742605608</v>
      </c>
      <c r="W16" s="36">
        <v>9.64469246904583</v>
      </c>
      <c r="X16" s="31">
        <v>10.353589543499199</v>
      </c>
      <c r="Y16" s="31">
        <v>9.52519749218628</v>
      </c>
      <c r="Z16" s="31">
        <v>9.16263382875224</v>
      </c>
      <c r="AA16" s="31">
        <v>7.721072967557343</v>
      </c>
      <c r="AB16" s="31">
        <v>6.603026128127676</v>
      </c>
      <c r="AC16" s="31">
        <v>6.218233884384552</v>
      </c>
      <c r="AD16" s="31">
        <v>6.090169261078992</v>
      </c>
      <c r="AE16" s="31"/>
      <c r="AF16" s="31"/>
      <c r="AG16" s="31"/>
      <c r="AH16" s="31"/>
      <c r="AI16" s="31"/>
      <c r="AJ16" s="31"/>
      <c r="AK16" s="31">
        <v>9.068209729689213</v>
      </c>
      <c r="AL16" s="31">
        <v>9.464925625941111</v>
      </c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3"/>
      <c r="AZ16" s="33"/>
      <c r="BA16" s="33"/>
      <c r="BB16" s="33"/>
      <c r="BC16" s="33"/>
      <c r="BD16" s="33"/>
      <c r="BE16" s="33"/>
    </row>
    <row r="17">
      <c r="D17" s="3"/>
      <c r="F17" s="4"/>
      <c r="G17" s="4"/>
      <c r="H17" s="5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</row>
    <row r="18">
      <c r="A18" s="26"/>
      <c r="B18" s="27" t="s">
        <v>7</v>
      </c>
      <c r="C18" s="28" t="s">
        <v>18</v>
      </c>
      <c r="D18" s="29" t="s">
        <v>6</v>
      </c>
      <c r="E18" s="30"/>
      <c r="F18" s="31">
        <f t="shared" ref="F18:G18" si="12">J18</f>
        <v>513.6329807</v>
      </c>
      <c r="G18" s="31">
        <f t="shared" si="12"/>
        <v>453.3291065</v>
      </c>
      <c r="H18" s="32">
        <f t="shared" ref="H18:H19" si="14">IFERROR(F18/G18-1,"-")</f>
        <v>0.133024492</v>
      </c>
      <c r="I18" s="30"/>
      <c r="J18" s="31">
        <v>513.632980655555</v>
      </c>
      <c r="K18" s="31">
        <v>453.32910653</v>
      </c>
      <c r="L18" s="31">
        <v>396.155730103225</v>
      </c>
      <c r="M18" s="31">
        <v>417.470924083308</v>
      </c>
      <c r="N18" s="31">
        <v>730.003191306291</v>
      </c>
      <c r="O18" s="31">
        <v>699.365565607243</v>
      </c>
      <c r="P18" s="31">
        <v>582.660201696342</v>
      </c>
      <c r="Q18" s="31">
        <v>532.905143905655</v>
      </c>
      <c r="R18" s="31">
        <v>724.789412056976</v>
      </c>
      <c r="S18" s="31">
        <v>967.961804900923</v>
      </c>
      <c r="T18" s="31">
        <v>734.445435260187</v>
      </c>
      <c r="U18" s="31">
        <v>975.354944354116</v>
      </c>
      <c r="V18" s="31">
        <v>1213.36929739479</v>
      </c>
      <c r="W18" s="31">
        <v>1595.15713139139</v>
      </c>
      <c r="X18" s="36">
        <v>1746.58861850477</v>
      </c>
      <c r="Y18" s="36">
        <v>2061.40337095405</v>
      </c>
      <c r="Z18" s="36">
        <v>2658.61052759572</v>
      </c>
      <c r="AA18" s="36">
        <v>5108.38224991421</v>
      </c>
      <c r="AB18" s="36">
        <v>5797.6164603196</v>
      </c>
      <c r="AC18" s="36">
        <v>4650.12098241762</v>
      </c>
      <c r="AD18" s="36">
        <v>5896.59312893725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7"/>
      <c r="AZ18" s="37"/>
      <c r="BA18" s="37"/>
      <c r="BB18" s="37"/>
      <c r="BC18" s="37"/>
      <c r="BD18" s="37"/>
      <c r="BE18" s="37"/>
    </row>
    <row r="19">
      <c r="A19" s="26"/>
      <c r="B19" s="27"/>
      <c r="C19" s="28" t="s">
        <v>19</v>
      </c>
      <c r="D19" s="39" t="s">
        <v>10</v>
      </c>
      <c r="E19" s="30"/>
      <c r="F19" s="40">
        <f t="shared" ref="F19:G19" si="13">J19</f>
        <v>0.005969804305</v>
      </c>
      <c r="G19" s="40">
        <f t="shared" si="13"/>
        <v>0.005536355212</v>
      </c>
      <c r="H19" s="32">
        <f t="shared" si="14"/>
        <v>0.07829141655</v>
      </c>
      <c r="I19" s="30"/>
      <c r="J19" s="58">
        <v>0.00596980430452644</v>
      </c>
      <c r="K19" s="58">
        <v>0.00553635521241022</v>
      </c>
      <c r="L19" s="58">
        <v>0.0049879407701362</v>
      </c>
      <c r="M19" s="58">
        <v>0.00508811185138378</v>
      </c>
      <c r="N19" s="58">
        <v>0.00717822063305592</v>
      </c>
      <c r="O19" s="58">
        <v>0.00605590942157446</v>
      </c>
      <c r="P19" s="58">
        <v>0.00567392941207458</v>
      </c>
      <c r="Q19" s="58">
        <v>0.00469725131473514</v>
      </c>
      <c r="R19" s="58">
        <v>0.00673868271462243</v>
      </c>
      <c r="S19" s="58">
        <v>0.00883252157162283</v>
      </c>
      <c r="T19" s="58">
        <v>0.00677413621977053</v>
      </c>
      <c r="U19" s="58">
        <v>0.00783934523373415</v>
      </c>
      <c r="V19" s="58">
        <v>0.00767161955585064</v>
      </c>
      <c r="W19" s="58">
        <v>0.00864409491671586</v>
      </c>
      <c r="X19" s="36">
        <v>0.00894600211183313</v>
      </c>
      <c r="Y19" s="36">
        <v>0.0108584854475182</v>
      </c>
      <c r="Z19" s="36">
        <v>0.0120514906491648</v>
      </c>
      <c r="AA19" s="36">
        <v>0.0195875646910664</v>
      </c>
      <c r="AB19" s="36">
        <v>0.0223439294026522</v>
      </c>
      <c r="AC19" s="36">
        <v>0.0165878464952905</v>
      </c>
      <c r="AD19" s="36">
        <v>0.0178376379180808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7"/>
      <c r="AZ19" s="37"/>
      <c r="BA19" s="37"/>
      <c r="BB19" s="37"/>
      <c r="BC19" s="37"/>
      <c r="BD19" s="37"/>
      <c r="BE19" s="37"/>
    </row>
    <row r="20">
      <c r="D20" s="3"/>
      <c r="F20" s="4"/>
      <c r="G20" s="4"/>
      <c r="H20" s="5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</row>
    <row r="21">
      <c r="A21" s="26"/>
      <c r="B21" s="27" t="s">
        <v>7</v>
      </c>
      <c r="C21" s="28" t="s">
        <v>20</v>
      </c>
      <c r="D21" s="29" t="s">
        <v>6</v>
      </c>
      <c r="E21" s="30"/>
      <c r="F21" s="31">
        <f t="shared" ref="F21:G21" si="15">J21</f>
        <v>333.5387927</v>
      </c>
      <c r="G21" s="31">
        <f t="shared" si="15"/>
        <v>355.2431611</v>
      </c>
      <c r="H21" s="32">
        <f t="shared" ref="H21:H22" si="17">IFERROR(F21/G21-1,"-")</f>
        <v>-0.06109721683</v>
      </c>
      <c r="I21" s="30"/>
      <c r="J21" s="31">
        <v>333.5387927</v>
      </c>
      <c r="K21" s="31">
        <v>355.243161143333</v>
      </c>
      <c r="L21" s="31">
        <v>288.622126245161</v>
      </c>
      <c r="M21" s="31">
        <v>335.825855595215</v>
      </c>
      <c r="N21" s="31">
        <v>653.116654115337</v>
      </c>
      <c r="O21" s="31">
        <v>552.423815554271</v>
      </c>
      <c r="P21" s="31">
        <v>422.900819339933</v>
      </c>
      <c r="Q21" s="31">
        <v>426.09375263693</v>
      </c>
      <c r="R21" s="31">
        <v>675.661376244942</v>
      </c>
      <c r="S21" s="31">
        <v>926.842649136556</v>
      </c>
      <c r="T21" s="31">
        <v>615.782201088539</v>
      </c>
      <c r="U21" s="31">
        <v>776.822315840923</v>
      </c>
      <c r="V21" s="31">
        <v>868.116978939174</v>
      </c>
      <c r="W21" s="31">
        <v>1196.22108289712</v>
      </c>
      <c r="X21" s="36">
        <v>1226.36370189669</v>
      </c>
      <c r="Y21" s="36">
        <v>1391.93508002025</v>
      </c>
      <c r="Z21" s="36">
        <v>1651.02177510478</v>
      </c>
      <c r="AA21" s="36">
        <v>2091.53703152061</v>
      </c>
      <c r="AB21" s="36">
        <v>2919.27051835682</v>
      </c>
      <c r="AC21" s="36">
        <v>2194.33705399919</v>
      </c>
      <c r="AD21" s="36">
        <v>2475.78415727043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7"/>
      <c r="AZ21" s="37"/>
      <c r="BA21" s="37"/>
      <c r="BB21" s="37"/>
      <c r="BC21" s="37"/>
      <c r="BD21" s="37"/>
      <c r="BE21" s="37"/>
    </row>
    <row r="22">
      <c r="A22" s="26"/>
      <c r="B22" s="27"/>
      <c r="C22" s="28" t="s">
        <v>21</v>
      </c>
      <c r="D22" s="39" t="s">
        <v>10</v>
      </c>
      <c r="E22" s="30"/>
      <c r="F22" s="40">
        <f t="shared" ref="F22:G22" si="16">J22</f>
        <v>0.003876622794</v>
      </c>
      <c r="G22" s="40">
        <f t="shared" si="16"/>
        <v>0.004338464702</v>
      </c>
      <c r="H22" s="32">
        <f t="shared" si="17"/>
        <v>-0.1064528444</v>
      </c>
      <c r="I22" s="30"/>
      <c r="J22" s="58">
        <v>0.00387662279366421</v>
      </c>
      <c r="K22" s="58">
        <v>0.00433846470155743</v>
      </c>
      <c r="L22" s="58">
        <v>0.0036340003722438</v>
      </c>
      <c r="M22" s="58">
        <v>0.00409302640562851</v>
      </c>
      <c r="N22" s="58">
        <v>0.00642218485918385</v>
      </c>
      <c r="O22" s="58">
        <v>0.0047835191691379</v>
      </c>
      <c r="P22" s="58">
        <v>0.00411819683283227</v>
      </c>
      <c r="Q22" s="58">
        <v>0.00375577053939751</v>
      </c>
      <c r="R22" s="58">
        <v>0.00628191797686177</v>
      </c>
      <c r="S22" s="58">
        <v>0.00845731479336275</v>
      </c>
      <c r="T22" s="58">
        <v>0.00567964931309857</v>
      </c>
      <c r="U22" s="58">
        <v>0.00624365350726605</v>
      </c>
      <c r="V22" s="58">
        <v>0.00548873554547245</v>
      </c>
      <c r="W22" s="58">
        <v>0.00648227587016454</v>
      </c>
      <c r="X22" s="36">
        <v>0.00628141747335757</v>
      </c>
      <c r="Y22" s="36">
        <v>0.00733204719816428</v>
      </c>
      <c r="Z22" s="36">
        <v>0.00748408737485766</v>
      </c>
      <c r="AA22" s="36">
        <v>0.00801978295758097</v>
      </c>
      <c r="AB22" s="36">
        <v>0.0112508260620284</v>
      </c>
      <c r="AC22" s="36">
        <v>0.00782760843175795</v>
      </c>
      <c r="AD22" s="36">
        <v>0.00748943337195631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7"/>
      <c r="AZ22" s="37"/>
      <c r="BA22" s="37"/>
      <c r="BB22" s="37"/>
      <c r="BC22" s="37"/>
      <c r="BD22" s="37"/>
      <c r="BE22" s="37"/>
    </row>
    <row r="23">
      <c r="D23" s="3"/>
      <c r="F23" s="4"/>
      <c r="G23" s="4"/>
      <c r="H23" s="5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</row>
    <row r="24">
      <c r="A24" s="26"/>
      <c r="B24" s="27" t="s">
        <v>7</v>
      </c>
      <c r="C24" s="28" t="s">
        <v>22</v>
      </c>
      <c r="D24" s="39" t="s">
        <v>23</v>
      </c>
      <c r="E24" s="30"/>
      <c r="F24" s="31">
        <f t="shared" ref="F24:G24" si="18">J24</f>
        <v>11161.00528</v>
      </c>
      <c r="G24" s="31">
        <f t="shared" si="18"/>
        <v>10399.57519</v>
      </c>
      <c r="H24" s="32">
        <f t="shared" ref="H24:H26" si="20">IFERROR(F24/G24-1,"-")</f>
        <v>0.07321742227</v>
      </c>
      <c r="I24" s="30"/>
      <c r="J24" s="31">
        <v>11161.005279343</v>
      </c>
      <c r="K24" s="31">
        <v>10399.5751911477</v>
      </c>
      <c r="L24" s="31">
        <v>10023.9198969201</v>
      </c>
      <c r="M24" s="31">
        <v>10270.9240059182</v>
      </c>
      <c r="N24" s="31">
        <v>13066.4733489238</v>
      </c>
      <c r="O24" s="31">
        <v>15762.5796948006</v>
      </c>
      <c r="P24" s="31">
        <v>14302.1183060619</v>
      </c>
      <c r="Q24" s="31">
        <v>15771.4100164125</v>
      </c>
      <c r="R24" s="31">
        <v>14734.4609152625</v>
      </c>
      <c r="S24" s="31">
        <v>15025.808041455</v>
      </c>
      <c r="T24" s="31">
        <v>14635.706575475</v>
      </c>
      <c r="U24" s="31">
        <v>17003.5007395697</v>
      </c>
      <c r="V24" s="31">
        <v>23860.9733692046</v>
      </c>
      <c r="W24" s="31">
        <v>29023.1518257487</v>
      </c>
      <c r="X24" s="31">
        <v>30053.9785629348</v>
      </c>
      <c r="Y24" s="31">
        <v>29770.6596283462</v>
      </c>
      <c r="Z24" s="31">
        <v>34208.1110345424</v>
      </c>
      <c r="AA24" s="31">
        <v>40654.398315762</v>
      </c>
      <c r="AB24" s="31">
        <v>38471.1999178178</v>
      </c>
      <c r="AC24" s="31">
        <v>41286.7971825882</v>
      </c>
      <c r="AD24" s="31">
        <v>30706.9443356351</v>
      </c>
      <c r="AE24" s="31">
        <v>32391.9727615518</v>
      </c>
      <c r="AF24" s="31">
        <v>34580.7702190637</v>
      </c>
      <c r="AG24" s="31">
        <v>44099.3210125423</v>
      </c>
      <c r="AH24" s="31">
        <v>45516.8105125426</v>
      </c>
      <c r="AI24" s="31">
        <v>44068.5411294137</v>
      </c>
      <c r="AJ24" s="31">
        <v>40906.6535178418</v>
      </c>
      <c r="AK24" s="31">
        <v>44888.668426794</v>
      </c>
      <c r="AL24" s="36">
        <v>48972.9465897243</v>
      </c>
      <c r="AM24" s="36">
        <v>52734.1182981495</v>
      </c>
      <c r="AN24" s="36">
        <v>53339.3711484461</v>
      </c>
      <c r="AO24" s="36">
        <v>55019.3739845338</v>
      </c>
      <c r="AP24" s="36">
        <v>51453.1033180701</v>
      </c>
      <c r="AQ24" s="36">
        <v>55744.9494039066</v>
      </c>
      <c r="AR24" s="36">
        <v>58110.8020008489</v>
      </c>
      <c r="AS24" s="36">
        <v>61089.9396975101</v>
      </c>
      <c r="AT24" s="36">
        <v>56641.897666146</v>
      </c>
      <c r="AU24" s="36">
        <v>58646.7736055169</v>
      </c>
      <c r="AV24" s="36">
        <v>26364.6974652076</v>
      </c>
      <c r="AW24" s="36">
        <v>31636.4148269155</v>
      </c>
      <c r="AX24" s="36">
        <v>47069.4051554256</v>
      </c>
      <c r="AY24" s="37">
        <v>21695.0756307695</v>
      </c>
      <c r="AZ24" s="37">
        <v>19429.2724291368</v>
      </c>
      <c r="BA24" s="37">
        <v>20963.3283203466</v>
      </c>
      <c r="BB24" s="37">
        <v>16087.7590326277</v>
      </c>
      <c r="BC24" s="37">
        <v>19454.2346124503</v>
      </c>
      <c r="BD24" s="37">
        <v>20535.2079711366</v>
      </c>
      <c r="BE24" s="37">
        <v>22767.6695166848</v>
      </c>
    </row>
    <row r="25">
      <c r="A25" s="45"/>
      <c r="B25" s="46" t="s">
        <v>7</v>
      </c>
      <c r="C25" s="47" t="s">
        <v>24</v>
      </c>
      <c r="D25" s="48" t="s">
        <v>10</v>
      </c>
      <c r="E25" s="49"/>
      <c r="F25" s="40">
        <f t="shared" ref="F25:G25" si="19">J25</f>
        <v>0.1297210652</v>
      </c>
      <c r="G25" s="40">
        <f t="shared" si="19"/>
        <v>0.1270064981</v>
      </c>
      <c r="H25" s="50">
        <f t="shared" si="20"/>
        <v>0.02137345013</v>
      </c>
      <c r="I25" s="49"/>
      <c r="J25" s="40">
        <v>0.1297210651746406</v>
      </c>
      <c r="K25" s="40">
        <v>0.12700649812026216</v>
      </c>
      <c r="L25" s="40">
        <v>0.1262097577571304</v>
      </c>
      <c r="M25" s="40">
        <v>0.1251814369442073</v>
      </c>
      <c r="N25" s="40">
        <v>0.12848440898824298</v>
      </c>
      <c r="O25" s="40">
        <v>0.13649049878396335</v>
      </c>
      <c r="P25" s="40">
        <v>0.13927364435648637</v>
      </c>
      <c r="Q25" s="40">
        <v>0.13901587793255757</v>
      </c>
      <c r="R25" s="40">
        <v>0.13699269805441627</v>
      </c>
      <c r="S25" s="40">
        <v>0.13710848195172273</v>
      </c>
      <c r="T25" s="40">
        <v>0.13499201609134634</v>
      </c>
      <c r="U25" s="40">
        <v>0.13666441458171935</v>
      </c>
      <c r="V25" s="40">
        <v>0.15086281671528173</v>
      </c>
      <c r="W25" s="40">
        <v>0.15727533935493546</v>
      </c>
      <c r="X25" s="40">
        <v>0.15393605159477766</v>
      </c>
      <c r="Y25" s="40">
        <v>0.15681757335431326</v>
      </c>
      <c r="Z25" s="40">
        <v>0.15506548476327647</v>
      </c>
      <c r="AA25" s="40">
        <v>0.15588509591265295</v>
      </c>
      <c r="AB25" s="40">
        <v>0.148267444195792</v>
      </c>
      <c r="AC25" s="40">
        <v>0.14727768514764672</v>
      </c>
      <c r="AD25" s="40">
        <v>0.0928908172316855</v>
      </c>
      <c r="AE25" s="40">
        <v>0.09237656535337861</v>
      </c>
      <c r="AF25" s="40">
        <v>0.09191051014299047</v>
      </c>
      <c r="AG25" s="40">
        <v>0.09169780903502038</v>
      </c>
      <c r="AH25" s="40">
        <v>0.09181070269860013</v>
      </c>
      <c r="AI25" s="40">
        <v>0.09123774740863015</v>
      </c>
      <c r="AJ25" s="40">
        <v>0.09206349840140546</v>
      </c>
      <c r="AK25" s="40">
        <v>0.09196057945260444</v>
      </c>
      <c r="AL25" s="40">
        <v>0.09040549060729977</v>
      </c>
      <c r="AM25" s="40">
        <v>0.09094001691735214</v>
      </c>
      <c r="AN25" s="40">
        <v>0.0916668709972185</v>
      </c>
      <c r="AO25" s="40">
        <v>0.09055682943680515</v>
      </c>
      <c r="AP25" s="40">
        <v>0.08896900192763624</v>
      </c>
      <c r="AQ25" s="40">
        <v>0.08911548326140592</v>
      </c>
      <c r="AR25" s="40">
        <v>0.0893756780433192</v>
      </c>
      <c r="AS25" s="40">
        <v>0.08893810188556074</v>
      </c>
      <c r="AT25" s="40">
        <v>0.0890526601232873</v>
      </c>
      <c r="AU25" s="40">
        <v>0.08954640990697893</v>
      </c>
      <c r="AV25" s="40">
        <v>0.053442393292824686</v>
      </c>
      <c r="AW25" s="40">
        <v>0.056355846256642146</v>
      </c>
      <c r="AX25" s="40">
        <v>0.06078558095439661</v>
      </c>
      <c r="AY25" s="51">
        <v>0.029812656497064452</v>
      </c>
      <c r="AZ25" s="51"/>
      <c r="BA25" s="51"/>
      <c r="BB25" s="51"/>
      <c r="BC25" s="51"/>
      <c r="BD25" s="51"/>
      <c r="BE25" s="51"/>
    </row>
    <row r="26">
      <c r="A26" s="26"/>
      <c r="B26" s="27" t="s">
        <v>7</v>
      </c>
      <c r="C26" s="28" t="s">
        <v>25</v>
      </c>
      <c r="D26" s="39" t="s">
        <v>23</v>
      </c>
      <c r="E26" s="30"/>
      <c r="F26" s="31">
        <f t="shared" ref="F26:G26" si="21">J26</f>
        <v>11555.21259</v>
      </c>
      <c r="G26" s="31">
        <f t="shared" si="21"/>
        <v>9694.82026</v>
      </c>
      <c r="H26" s="32">
        <f t="shared" si="20"/>
        <v>0.1918954945</v>
      </c>
      <c r="I26" s="30"/>
      <c r="J26" s="31">
        <v>11555.2125875972</v>
      </c>
      <c r="K26" s="31">
        <v>9694.8202598649</v>
      </c>
      <c r="L26" s="31">
        <v>9389.940288527</v>
      </c>
      <c r="M26" s="31">
        <v>8722.4560803432</v>
      </c>
      <c r="N26" s="31">
        <v>11026.9561771059</v>
      </c>
      <c r="O26" s="31">
        <v>9572.1527345569</v>
      </c>
      <c r="P26" s="31">
        <v>9308.7450008504</v>
      </c>
      <c r="Q26" s="31">
        <v>9260.3009898103</v>
      </c>
      <c r="R26" s="31">
        <v>8371.9695565968</v>
      </c>
      <c r="S26" s="31">
        <v>8150.3898638448</v>
      </c>
      <c r="T26" s="31">
        <v>5666.7917995777</v>
      </c>
      <c r="U26" s="31">
        <v>5870.1000123787</v>
      </c>
      <c r="V26" s="31">
        <v>9699.4913673434</v>
      </c>
      <c r="W26" s="31">
        <v>9141.2761261064</v>
      </c>
      <c r="X26" s="31">
        <v>7858.5835860968</v>
      </c>
      <c r="Y26" s="31">
        <v>10891.3037814436</v>
      </c>
      <c r="Z26" s="31">
        <v>11880.5728986361</v>
      </c>
      <c r="AA26" s="31">
        <v>15206.9842198604</v>
      </c>
      <c r="AB26" s="31">
        <v>28937.525204361</v>
      </c>
      <c r="AC26" s="31">
        <v>32510.7639798784</v>
      </c>
      <c r="AD26" s="31">
        <v>42928.4066972909</v>
      </c>
      <c r="AE26" s="31">
        <v>43243.368051892</v>
      </c>
      <c r="AF26" s="31">
        <v>41567.2618689225</v>
      </c>
      <c r="AG26" s="31">
        <v>47995.4221251559</v>
      </c>
      <c r="AH26" s="31">
        <v>50425.1222631094</v>
      </c>
      <c r="AI26" s="31">
        <v>47033.4088083767</v>
      </c>
      <c r="AJ26" s="31">
        <v>48503.6286913247</v>
      </c>
      <c r="AK26" s="31">
        <v>53484.0813429749</v>
      </c>
      <c r="AL26" s="36">
        <v>45832.8611381693</v>
      </c>
      <c r="AM26" s="36">
        <v>47348.3998733979</v>
      </c>
      <c r="AN26" s="36">
        <v>49121.3822335175</v>
      </c>
      <c r="AO26" s="36">
        <v>43694.242521995</v>
      </c>
      <c r="AP26" s="36">
        <v>31208.9957969905</v>
      </c>
      <c r="AQ26" s="36">
        <v>29119.139829494</v>
      </c>
      <c r="AR26" s="36">
        <v>29588.5862484757</v>
      </c>
      <c r="AS26" s="36">
        <v>29602.9256356489</v>
      </c>
      <c r="AT26" s="36">
        <v>26876.1894600392</v>
      </c>
      <c r="AU26" s="36">
        <v>29385.0502461899</v>
      </c>
      <c r="AV26" s="36">
        <v>23740.8434764877</v>
      </c>
      <c r="AW26" s="36">
        <v>45018.4267277168</v>
      </c>
      <c r="AX26" s="36">
        <v>91356.3480493645</v>
      </c>
      <c r="AY26" s="37">
        <v>86986.9606002191</v>
      </c>
      <c r="AZ26" s="37">
        <v>95770.735355566</v>
      </c>
      <c r="BA26" s="37">
        <v>208674.5940845963</v>
      </c>
      <c r="BB26" s="37">
        <v>144327.5330609658</v>
      </c>
      <c r="BC26" s="37">
        <v>174016.4661816361</v>
      </c>
      <c r="BD26" s="37">
        <v>195965.4011684989</v>
      </c>
      <c r="BE26" s="37">
        <v>207890.5901735201</v>
      </c>
    </row>
    <row r="27">
      <c r="D27" s="3"/>
      <c r="F27" s="4"/>
      <c r="G27" s="4"/>
      <c r="H27" s="5"/>
    </row>
    <row r="28">
      <c r="C28" s="20" t="s">
        <v>26</v>
      </c>
      <c r="D28" s="21" t="s">
        <v>4</v>
      </c>
      <c r="F28" s="22"/>
      <c r="G28" s="22"/>
      <c r="H28" s="23"/>
      <c r="I28" s="17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5"/>
      <c r="AZ28" s="25"/>
      <c r="BA28" s="25"/>
      <c r="BB28" s="25"/>
      <c r="BC28" s="25"/>
      <c r="BD28" s="25"/>
      <c r="BE28" s="25"/>
    </row>
    <row r="29">
      <c r="A29" s="26"/>
      <c r="B29" s="27"/>
      <c r="C29" s="28" t="s">
        <v>27</v>
      </c>
      <c r="D29" s="39"/>
      <c r="E29" s="30"/>
      <c r="F29" s="55">
        <f t="shared" ref="F29:G29" si="22">J29</f>
        <v>1</v>
      </c>
      <c r="G29" s="55">
        <f t="shared" si="22"/>
        <v>1</v>
      </c>
      <c r="H29" s="56">
        <f t="shared" ref="H29:H37" si="24">IFERROR(F29/G29-1,"-")</f>
        <v>0</v>
      </c>
      <c r="I29" s="30"/>
      <c r="J29" s="40">
        <v>1.0</v>
      </c>
      <c r="K29" s="40">
        <v>1.0</v>
      </c>
      <c r="L29" s="40">
        <v>1.0</v>
      </c>
      <c r="M29" s="40">
        <v>1.0</v>
      </c>
      <c r="N29" s="40">
        <v>1.0</v>
      </c>
      <c r="O29" s="40">
        <v>1.0</v>
      </c>
      <c r="P29" s="40">
        <v>1.0</v>
      </c>
      <c r="Q29" s="40">
        <v>1.0</v>
      </c>
      <c r="R29" s="40">
        <v>1.0</v>
      </c>
      <c r="S29" s="40">
        <v>1.0</v>
      </c>
      <c r="T29" s="40">
        <v>1.0</v>
      </c>
      <c r="U29" s="40">
        <v>1.0</v>
      </c>
      <c r="V29" s="40">
        <v>1.0</v>
      </c>
      <c r="W29" s="40">
        <v>1.0</v>
      </c>
      <c r="X29" s="31">
        <v>1.0</v>
      </c>
      <c r="Y29" s="31">
        <v>1.0</v>
      </c>
      <c r="Z29" s="31">
        <v>1.0</v>
      </c>
      <c r="AA29" s="31">
        <v>1.0</v>
      </c>
      <c r="AB29" s="31">
        <v>1.0</v>
      </c>
      <c r="AC29" s="31">
        <v>1.0</v>
      </c>
      <c r="AD29" s="31">
        <v>1.0</v>
      </c>
      <c r="AE29" s="31">
        <v>1.0</v>
      </c>
      <c r="AF29" s="31">
        <v>1.0</v>
      </c>
      <c r="AG29" s="31">
        <v>1.0</v>
      </c>
      <c r="AH29" s="31">
        <v>1.0</v>
      </c>
      <c r="AI29" s="31">
        <v>1.0</v>
      </c>
      <c r="AJ29" s="31">
        <v>1.0</v>
      </c>
      <c r="AK29" s="31">
        <v>1.0</v>
      </c>
      <c r="AL29" s="31">
        <v>1.0</v>
      </c>
      <c r="AM29" s="31">
        <v>1.0</v>
      </c>
      <c r="AN29" s="31">
        <v>1.0</v>
      </c>
      <c r="AO29" s="31">
        <v>1.0</v>
      </c>
      <c r="AP29" s="31">
        <v>1.0</v>
      </c>
      <c r="AQ29" s="31">
        <v>1.0</v>
      </c>
      <c r="AR29" s="31">
        <v>1.0</v>
      </c>
      <c r="AS29" s="31">
        <v>1.0</v>
      </c>
      <c r="AT29" s="31"/>
      <c r="AU29" s="31"/>
      <c r="AV29" s="31"/>
      <c r="AW29" s="31"/>
      <c r="AX29" s="31"/>
      <c r="AY29" s="33"/>
      <c r="AZ29" s="33"/>
      <c r="BA29" s="33"/>
      <c r="BB29" s="33"/>
      <c r="BC29" s="33"/>
      <c r="BD29" s="33"/>
      <c r="BE29" s="33"/>
    </row>
    <row r="30">
      <c r="A30" s="26"/>
      <c r="B30" s="27" t="s">
        <v>5</v>
      </c>
      <c r="C30" s="38" t="s">
        <v>28</v>
      </c>
      <c r="D30" s="39" t="s">
        <v>10</v>
      </c>
      <c r="E30" s="30"/>
      <c r="F30" s="55">
        <f t="shared" ref="F30:G30" si="23">J30</f>
        <v>0.234233426</v>
      </c>
      <c r="G30" s="55">
        <f t="shared" si="23"/>
        <v>0.2184584199</v>
      </c>
      <c r="H30" s="32">
        <f t="shared" si="24"/>
        <v>0.0722105661</v>
      </c>
      <c r="I30" s="30"/>
      <c r="J30" s="40">
        <v>0.23423342603391048</v>
      </c>
      <c r="K30" s="40">
        <v>0.21845841986545705</v>
      </c>
      <c r="L30" s="40">
        <v>0.1927678834056039</v>
      </c>
      <c r="M30" s="40">
        <v>0.21927720019802735</v>
      </c>
      <c r="N30" s="40">
        <v>0.22517939065992235</v>
      </c>
      <c r="O30" s="40">
        <v>0.23294298329813784</v>
      </c>
      <c r="P30" s="40">
        <v>0.26454137198483346</v>
      </c>
      <c r="Q30" s="40">
        <v>0.26608116755411265</v>
      </c>
      <c r="R30" s="40">
        <v>0.27411474398519436</v>
      </c>
      <c r="S30" s="40">
        <v>0.2822124450031427</v>
      </c>
      <c r="T30" s="40">
        <v>0.29545646601504183</v>
      </c>
      <c r="U30" s="40">
        <v>0.3068603213844252</v>
      </c>
      <c r="V30" s="40">
        <v>0.31134851680852005</v>
      </c>
      <c r="W30" s="40">
        <v>0.3114721585111113</v>
      </c>
      <c r="X30" s="31">
        <v>0.32010163231127475</v>
      </c>
      <c r="Y30" s="31">
        <v>0.3134283834641538</v>
      </c>
      <c r="Z30" s="31">
        <v>0.3215343444114426</v>
      </c>
      <c r="AA30" s="31">
        <v>0.35651375742079533</v>
      </c>
      <c r="AB30" s="31">
        <v>0.3925884940395802</v>
      </c>
      <c r="AC30" s="31">
        <v>0.3868178382976416</v>
      </c>
      <c r="AD30" s="31">
        <v>0.3688774059425608</v>
      </c>
      <c r="AE30" s="31">
        <v>0.3362880676139024</v>
      </c>
      <c r="AF30" s="31">
        <v>0.338252354179395</v>
      </c>
      <c r="AG30" s="31">
        <v>0.3550797281809442</v>
      </c>
      <c r="AH30" s="31">
        <v>0.29684748692027063</v>
      </c>
      <c r="AI30" s="31">
        <v>0.26752075478634735</v>
      </c>
      <c r="AJ30" s="31">
        <v>0.25368455628931286</v>
      </c>
      <c r="AK30" s="31">
        <v>0.2812978330352168</v>
      </c>
      <c r="AL30" s="31">
        <v>0.2877223183642604</v>
      </c>
      <c r="AM30" s="31">
        <v>0.2725017917816946</v>
      </c>
      <c r="AN30" s="31">
        <v>0.2412733747154171</v>
      </c>
      <c r="AO30" s="31">
        <v>0.24770342611214083</v>
      </c>
      <c r="AP30" s="31">
        <v>0.2454952489018062</v>
      </c>
      <c r="AQ30" s="31">
        <v>0.2547158918101402</v>
      </c>
      <c r="AR30" s="31">
        <v>0.2625912950676961</v>
      </c>
      <c r="AS30" s="31">
        <v>0.2652596179232104</v>
      </c>
      <c r="AT30" s="31"/>
      <c r="AU30" s="31"/>
      <c r="AV30" s="31"/>
      <c r="AW30" s="31"/>
      <c r="AX30" s="31"/>
      <c r="AY30" s="33"/>
      <c r="AZ30" s="33"/>
      <c r="BA30" s="33"/>
      <c r="BB30" s="33"/>
      <c r="BC30" s="33"/>
      <c r="BD30" s="33"/>
      <c r="BE30" s="33"/>
    </row>
    <row r="31">
      <c r="A31" s="26"/>
      <c r="B31" s="27" t="s">
        <v>5</v>
      </c>
      <c r="C31" s="38" t="s">
        <v>29</v>
      </c>
      <c r="D31" s="39" t="s">
        <v>10</v>
      </c>
      <c r="E31" s="30"/>
      <c r="F31" s="55">
        <f t="shared" ref="F31:G31" si="25">J31</f>
        <v>0.06372417093</v>
      </c>
      <c r="G31" s="55">
        <f t="shared" si="25"/>
        <v>0.06914951757</v>
      </c>
      <c r="H31" s="32">
        <f t="shared" si="24"/>
        <v>-0.0784581995</v>
      </c>
      <c r="I31" s="30"/>
      <c r="J31" s="40">
        <v>0.06372417092790288</v>
      </c>
      <c r="K31" s="40">
        <v>0.06914951757305961</v>
      </c>
      <c r="L31" s="40">
        <v>0.06844986763575638</v>
      </c>
      <c r="M31" s="40">
        <v>0.07168018584104498</v>
      </c>
      <c r="N31" s="40">
        <v>0.06924920597576754</v>
      </c>
      <c r="O31" s="40">
        <v>0.05848211428937096</v>
      </c>
      <c r="P31" s="40">
        <v>0.05923440987441848</v>
      </c>
      <c r="Q31" s="40">
        <v>0.055700690975055624</v>
      </c>
      <c r="R31" s="40">
        <v>0.0567242442936459</v>
      </c>
      <c r="S31" s="40">
        <v>0.050442939648731665</v>
      </c>
      <c r="T31" s="40">
        <v>0.04626630235768007</v>
      </c>
      <c r="U31" s="40">
        <v>0.05400054471936477</v>
      </c>
      <c r="V31" s="40">
        <v>0.05228047143510391</v>
      </c>
      <c r="W31" s="40">
        <v>0.05311747262554821</v>
      </c>
      <c r="X31" s="31">
        <v>0.05698464044415385</v>
      </c>
      <c r="Y31" s="31">
        <v>0.05343706635486389</v>
      </c>
      <c r="Z31" s="31">
        <v>0.08063766954876483</v>
      </c>
      <c r="AA31" s="31">
        <v>0.07467877860367735</v>
      </c>
      <c r="AB31" s="31">
        <v>0.07105502704053403</v>
      </c>
      <c r="AC31" s="31">
        <v>0.08771219325387276</v>
      </c>
      <c r="AD31" s="31">
        <v>0.09336968692644793</v>
      </c>
      <c r="AE31" s="31">
        <v>0.09067145767172337</v>
      </c>
      <c r="AF31" s="31">
        <v>0.09980681753532816</v>
      </c>
      <c r="AG31" s="31">
        <v>0.09841644044609361</v>
      </c>
      <c r="AH31" s="31">
        <v>0.09441901414816342</v>
      </c>
      <c r="AI31" s="31">
        <v>0.07528707441924813</v>
      </c>
      <c r="AJ31" s="31">
        <v>0.07467655032773947</v>
      </c>
      <c r="AK31" s="31">
        <v>0.0758056475969856</v>
      </c>
      <c r="AL31" s="31">
        <v>0.0790039119306614</v>
      </c>
      <c r="AM31" s="31">
        <v>0.07998812115098747</v>
      </c>
      <c r="AN31" s="31">
        <v>0.08259267186861512</v>
      </c>
      <c r="AO31" s="31">
        <v>0.0848979763424926</v>
      </c>
      <c r="AP31" s="31">
        <v>0.07929722233281576</v>
      </c>
      <c r="AQ31" s="31">
        <v>0.07846625123298072</v>
      </c>
      <c r="AR31" s="31">
        <v>0.0916120195671746</v>
      </c>
      <c r="AS31" s="31">
        <v>0.08942829459848102</v>
      </c>
      <c r="AT31" s="31"/>
      <c r="AU31" s="31"/>
      <c r="AV31" s="31"/>
      <c r="AW31" s="31"/>
      <c r="AX31" s="31"/>
      <c r="AY31" s="33"/>
      <c r="AZ31" s="33"/>
      <c r="BA31" s="33"/>
      <c r="BB31" s="33"/>
      <c r="BC31" s="33"/>
      <c r="BD31" s="33"/>
      <c r="BE31" s="33"/>
    </row>
    <row r="32">
      <c r="A32" s="26"/>
      <c r="B32" s="27" t="s">
        <v>5</v>
      </c>
      <c r="C32" s="38" t="s">
        <v>30</v>
      </c>
      <c r="D32" s="39" t="s">
        <v>10</v>
      </c>
      <c r="E32" s="30"/>
      <c r="F32" s="55">
        <f t="shared" ref="F32:G32" si="26">J32</f>
        <v>0.06222900033</v>
      </c>
      <c r="G32" s="55">
        <f t="shared" si="26"/>
        <v>0.07128590876</v>
      </c>
      <c r="H32" s="32">
        <f t="shared" si="24"/>
        <v>-0.1270504731</v>
      </c>
      <c r="I32" s="30"/>
      <c r="J32" s="40">
        <v>0.062229000328937537</v>
      </c>
      <c r="K32" s="40">
        <v>0.07128590876119122</v>
      </c>
      <c r="L32" s="40">
        <v>0.06949360002277234</v>
      </c>
      <c r="M32" s="40">
        <v>0.07009977531513005</v>
      </c>
      <c r="N32" s="40">
        <v>0.05678008469591812</v>
      </c>
      <c r="O32" s="40">
        <v>0.054853778716324304</v>
      </c>
      <c r="P32" s="40">
        <v>0.052377174819157234</v>
      </c>
      <c r="Q32" s="40">
        <v>0.05371054191934906</v>
      </c>
      <c r="R32" s="40">
        <v>0.05072794571252314</v>
      </c>
      <c r="S32" s="40">
        <v>0.05066826370029529</v>
      </c>
      <c r="T32" s="40">
        <v>0.049470437452466126</v>
      </c>
      <c r="U32" s="40">
        <v>0.04800863170685718</v>
      </c>
      <c r="V32" s="40">
        <v>0.052250969864145264</v>
      </c>
      <c r="W32" s="40">
        <v>0.053709266207946665</v>
      </c>
      <c r="X32" s="31">
        <v>0.055246796746848376</v>
      </c>
      <c r="Y32" s="31">
        <v>0.059967878631299425</v>
      </c>
      <c r="Z32" s="31">
        <v>0.05700204971299756</v>
      </c>
      <c r="AA32" s="31">
        <v>0.0574711863601582</v>
      </c>
      <c r="AB32" s="31">
        <v>0.0541722939138471</v>
      </c>
      <c r="AC32" s="31">
        <v>0.05211591707814676</v>
      </c>
      <c r="AD32" s="31">
        <v>0.04905966370205292</v>
      </c>
      <c r="AE32" s="31">
        <v>0.051221579766438506</v>
      </c>
      <c r="AF32" s="31">
        <v>0.05453508821834318</v>
      </c>
      <c r="AG32" s="31">
        <v>0.058023129052503376</v>
      </c>
      <c r="AH32" s="31">
        <v>0.13551033542681318</v>
      </c>
      <c r="AI32" s="31">
        <v>0.16488022159078264</v>
      </c>
      <c r="AJ32" s="31">
        <v>0.15837390242826258</v>
      </c>
      <c r="AK32" s="31">
        <v>0.18155880714306658</v>
      </c>
      <c r="AL32" s="31">
        <v>0.1886334055610494</v>
      </c>
      <c r="AM32" s="31">
        <v>0.196351069760034</v>
      </c>
      <c r="AN32" s="31">
        <v>0.21346539277305365</v>
      </c>
      <c r="AO32" s="31">
        <v>0.20659443447266818</v>
      </c>
      <c r="AP32" s="31">
        <v>0.1999666560496875</v>
      </c>
      <c r="AQ32" s="31">
        <v>0.19936364233257686</v>
      </c>
      <c r="AR32" s="31">
        <v>0.19412185526151857</v>
      </c>
      <c r="AS32" s="31">
        <v>0.20136569511266728</v>
      </c>
      <c r="AT32" s="31"/>
      <c r="AU32" s="31"/>
      <c r="AV32" s="31"/>
      <c r="AW32" s="31"/>
      <c r="AX32" s="31"/>
      <c r="AY32" s="33"/>
      <c r="AZ32" s="33"/>
      <c r="BA32" s="33"/>
      <c r="BB32" s="33"/>
      <c r="BC32" s="33"/>
      <c r="BD32" s="33"/>
      <c r="BE32" s="33"/>
    </row>
    <row r="33">
      <c r="A33" s="26"/>
      <c r="B33" s="27" t="s">
        <v>5</v>
      </c>
      <c r="C33" s="38" t="s">
        <v>31</v>
      </c>
      <c r="D33" s="39" t="s">
        <v>10</v>
      </c>
      <c r="E33" s="30"/>
      <c r="F33" s="55">
        <f t="shared" ref="F33:G33" si="27">J33</f>
        <v>0.07502766066</v>
      </c>
      <c r="G33" s="55">
        <f t="shared" si="27"/>
        <v>0.07344217336</v>
      </c>
      <c r="H33" s="32">
        <f t="shared" si="24"/>
        <v>0.02158824049</v>
      </c>
      <c r="I33" s="30"/>
      <c r="J33" s="40">
        <v>0.07502766065608087</v>
      </c>
      <c r="K33" s="40">
        <v>0.07344217335572405</v>
      </c>
      <c r="L33" s="40">
        <v>0.07341234071220504</v>
      </c>
      <c r="M33" s="40">
        <v>0.07507902052629575</v>
      </c>
      <c r="N33" s="40">
        <v>0.07187389718856604</v>
      </c>
      <c r="O33" s="40">
        <v>0.07513918218468035</v>
      </c>
      <c r="P33" s="40">
        <v>0.07563126899185199</v>
      </c>
      <c r="Q33" s="40">
        <v>0.07864904690059235</v>
      </c>
      <c r="R33" s="40">
        <v>0.07610117211597779</v>
      </c>
      <c r="S33" s="40">
        <v>0.07771307946823523</v>
      </c>
      <c r="T33" s="40">
        <v>0.08452578800597167</v>
      </c>
      <c r="U33" s="40">
        <v>0.08266116360436614</v>
      </c>
      <c r="V33" s="40">
        <v>0.08663505081645598</v>
      </c>
      <c r="W33" s="40">
        <v>0.08234567782757375</v>
      </c>
      <c r="X33" s="31">
        <v>0.08838340387946363</v>
      </c>
      <c r="Y33" s="31">
        <v>0.08925265880234705</v>
      </c>
      <c r="Z33" s="31">
        <v>0.08084647607034649</v>
      </c>
      <c r="AA33" s="31">
        <v>0.08337419471963434</v>
      </c>
      <c r="AB33" s="31">
        <v>0.08510777541780452</v>
      </c>
      <c r="AC33" s="31">
        <v>0.08494169239476332</v>
      </c>
      <c r="AD33" s="31">
        <v>0.08896426273090041</v>
      </c>
      <c r="AE33" s="31">
        <v>0.0910193959790984</v>
      </c>
      <c r="AF33" s="31">
        <v>0.09162686349346123</v>
      </c>
      <c r="AG33" s="31">
        <v>0.08890351952895142</v>
      </c>
      <c r="AH33" s="31">
        <v>0.09480498819479849</v>
      </c>
      <c r="AI33" s="31">
        <v>0.08784008002964347</v>
      </c>
      <c r="AJ33" s="31">
        <v>0.08430919778598148</v>
      </c>
      <c r="AK33" s="31">
        <v>0.08414606730590661</v>
      </c>
      <c r="AL33" s="31">
        <v>0.08200421005177129</v>
      </c>
      <c r="AM33" s="31">
        <v>0.08146468199193034</v>
      </c>
      <c r="AN33" s="31">
        <v>0.0829320309003522</v>
      </c>
      <c r="AO33" s="31">
        <v>0.08223299724568779</v>
      </c>
      <c r="AP33" s="31">
        <v>0.07847938315350826</v>
      </c>
      <c r="AQ33" s="31">
        <v>0.07236455324778629</v>
      </c>
      <c r="AR33" s="31">
        <v>0.06964086884774479</v>
      </c>
      <c r="AS33" s="31">
        <v>0.05926919419374518</v>
      </c>
      <c r="AT33" s="31"/>
      <c r="AU33" s="31"/>
      <c r="AV33" s="31"/>
      <c r="AW33" s="31"/>
      <c r="AX33" s="31"/>
      <c r="AY33" s="33"/>
      <c r="AZ33" s="33"/>
      <c r="BA33" s="33"/>
      <c r="BB33" s="33"/>
      <c r="BC33" s="33"/>
      <c r="BD33" s="33"/>
      <c r="BE33" s="33"/>
    </row>
    <row r="34">
      <c r="A34" s="26"/>
      <c r="B34" s="27" t="s">
        <v>5</v>
      </c>
      <c r="C34" s="38" t="s">
        <v>32</v>
      </c>
      <c r="D34" s="39" t="s">
        <v>10</v>
      </c>
      <c r="E34" s="30"/>
      <c r="F34" s="55">
        <f t="shared" ref="F34:G34" si="28">J34</f>
        <v>0.1211985288</v>
      </c>
      <c r="G34" s="55">
        <f t="shared" si="28"/>
        <v>0.1238709421</v>
      </c>
      <c r="H34" s="32">
        <f t="shared" si="24"/>
        <v>-0.02157417471</v>
      </c>
      <c r="I34" s="30"/>
      <c r="J34" s="40">
        <v>0.12119852875213062</v>
      </c>
      <c r="K34" s="40">
        <v>0.12387094209883046</v>
      </c>
      <c r="L34" s="40">
        <v>0.13365467639551765</v>
      </c>
      <c r="M34" s="40">
        <v>0.1320975665486119</v>
      </c>
      <c r="N34" s="40">
        <v>0.13785878131984472</v>
      </c>
      <c r="O34" s="40">
        <v>0.14077558072566712</v>
      </c>
      <c r="P34" s="40">
        <v>0.12363863715814666</v>
      </c>
      <c r="Q34" s="40">
        <v>0.12846147975507663</v>
      </c>
      <c r="R34" s="40">
        <v>0.12251696483652068</v>
      </c>
      <c r="S34" s="40">
        <v>0.1263890041862837</v>
      </c>
      <c r="T34" s="40">
        <v>0.13708064561561645</v>
      </c>
      <c r="U34" s="40">
        <v>0.12254090632922</v>
      </c>
      <c r="V34" s="40">
        <v>0.11236779608514152</v>
      </c>
      <c r="W34" s="40">
        <v>0.11201852793745543</v>
      </c>
      <c r="X34" s="31">
        <v>0.10724445668008764</v>
      </c>
      <c r="Y34" s="31">
        <v>0.08186421130853294</v>
      </c>
      <c r="Z34" s="31">
        <v>0.07001197441480907</v>
      </c>
      <c r="AA34" s="31">
        <v>0.0664278891262337</v>
      </c>
      <c r="AB34" s="31">
        <v>0.07271890735220916</v>
      </c>
      <c r="AC34" s="31">
        <v>0.07629467962165294</v>
      </c>
      <c r="AD34" s="31">
        <v>0.07672485690534597</v>
      </c>
      <c r="AE34" s="31">
        <v>0.07714867720181688</v>
      </c>
      <c r="AF34" s="31">
        <v>0.07696503174772003</v>
      </c>
      <c r="AG34" s="31">
        <v>0.08003592174431216</v>
      </c>
      <c r="AH34" s="31">
        <v>0.07060974860163502</v>
      </c>
      <c r="AI34" s="31">
        <v>0.06342484692105489</v>
      </c>
      <c r="AJ34" s="31">
        <v>0.059835370367646704</v>
      </c>
      <c r="AK34" s="31">
        <v>0.05822166182838264</v>
      </c>
      <c r="AL34" s="31">
        <v>0.06203373131289629</v>
      </c>
      <c r="AM34" s="31">
        <v>0.06481272563176896</v>
      </c>
      <c r="AN34" s="31">
        <v>0.06480823490494445</v>
      </c>
      <c r="AO34" s="31">
        <v>0.06801927493050411</v>
      </c>
      <c r="AP34" s="31">
        <v>0.07933537710183011</v>
      </c>
      <c r="AQ34" s="31">
        <v>0.07998167603870371</v>
      </c>
      <c r="AR34" s="31">
        <v>0.08281807432736858</v>
      </c>
      <c r="AS34" s="31">
        <v>0.07831664235859237</v>
      </c>
      <c r="AT34" s="31"/>
      <c r="AU34" s="31"/>
      <c r="AV34" s="31"/>
      <c r="AW34" s="31"/>
      <c r="AX34" s="31"/>
      <c r="AY34" s="33"/>
      <c r="AZ34" s="33"/>
      <c r="BA34" s="33"/>
      <c r="BB34" s="33"/>
      <c r="BC34" s="33"/>
      <c r="BD34" s="33"/>
      <c r="BE34" s="33"/>
    </row>
    <row r="35">
      <c r="A35" s="26"/>
      <c r="B35" s="27" t="s">
        <v>5</v>
      </c>
      <c r="C35" s="38" t="s">
        <v>33</v>
      </c>
      <c r="D35" s="39" t="s">
        <v>10</v>
      </c>
      <c r="E35" s="30"/>
      <c r="F35" s="55">
        <f t="shared" ref="F35:G35" si="29">J35</f>
        <v>0</v>
      </c>
      <c r="G35" s="55">
        <f t="shared" si="29"/>
        <v>0</v>
      </c>
      <c r="H35" s="32" t="str">
        <f t="shared" si="24"/>
        <v>-</v>
      </c>
      <c r="I35" s="30"/>
      <c r="J35" s="40">
        <v>0.0</v>
      </c>
      <c r="K35" s="40">
        <v>0.0</v>
      </c>
      <c r="L35" s="40">
        <v>0.0</v>
      </c>
      <c r="M35" s="40">
        <v>0.0</v>
      </c>
      <c r="N35" s="40">
        <v>0.0</v>
      </c>
      <c r="O35" s="40">
        <v>0.0</v>
      </c>
      <c r="P35" s="40">
        <v>0.0</v>
      </c>
      <c r="Q35" s="40">
        <v>0.0</v>
      </c>
      <c r="R35" s="40">
        <v>0.0</v>
      </c>
      <c r="S35" s="40">
        <v>0.0</v>
      </c>
      <c r="T35" s="40">
        <v>0.0</v>
      </c>
      <c r="U35" s="40">
        <v>0.0</v>
      </c>
      <c r="V35" s="40">
        <v>0.0</v>
      </c>
      <c r="W35" s="40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0.0</v>
      </c>
      <c r="AD35" s="31">
        <v>0.0</v>
      </c>
      <c r="AE35" s="31">
        <v>0.0</v>
      </c>
      <c r="AF35" s="31">
        <v>0.0</v>
      </c>
      <c r="AG35" s="31">
        <v>0.0</v>
      </c>
      <c r="AH35" s="31">
        <v>0.0</v>
      </c>
      <c r="AI35" s="31">
        <v>0.0</v>
      </c>
      <c r="AJ35" s="31">
        <v>0.0</v>
      </c>
      <c r="AK35" s="31">
        <v>0.0</v>
      </c>
      <c r="AL35" s="31">
        <v>0.0</v>
      </c>
      <c r="AM35" s="31">
        <v>0.0</v>
      </c>
      <c r="AN35" s="31">
        <v>0.0</v>
      </c>
      <c r="AO35" s="31">
        <v>0.0</v>
      </c>
      <c r="AP35" s="31">
        <v>0.0</v>
      </c>
      <c r="AQ35" s="31">
        <v>0.0</v>
      </c>
      <c r="AR35" s="31">
        <v>0.0</v>
      </c>
      <c r="AS35" s="31">
        <v>0.0</v>
      </c>
      <c r="AT35" s="31"/>
      <c r="AU35" s="31"/>
      <c r="AV35" s="31"/>
      <c r="AW35" s="31"/>
      <c r="AX35" s="31"/>
      <c r="AY35" s="33"/>
      <c r="AZ35" s="33"/>
      <c r="BA35" s="33"/>
      <c r="BB35" s="33"/>
      <c r="BC35" s="33"/>
      <c r="BD35" s="33"/>
      <c r="BE35" s="33"/>
    </row>
    <row r="36">
      <c r="A36" s="26"/>
      <c r="B36" s="27" t="s">
        <v>5</v>
      </c>
      <c r="C36" s="38" t="s">
        <v>34</v>
      </c>
      <c r="D36" s="39" t="s">
        <v>10</v>
      </c>
      <c r="E36" s="30"/>
      <c r="F36" s="55">
        <f t="shared" ref="F36:G36" si="30">J36</f>
        <v>0</v>
      </c>
      <c r="G36" s="55">
        <f t="shared" si="30"/>
        <v>0</v>
      </c>
      <c r="H36" s="32" t="str">
        <f t="shared" si="24"/>
        <v>-</v>
      </c>
      <c r="I36" s="30"/>
      <c r="J36" s="40">
        <v>0.0</v>
      </c>
      <c r="K36" s="40">
        <v>0.0</v>
      </c>
      <c r="L36" s="40">
        <v>0.0</v>
      </c>
      <c r="M36" s="40">
        <v>0.0</v>
      </c>
      <c r="N36" s="40">
        <v>0.0</v>
      </c>
      <c r="O36" s="40">
        <v>0.0</v>
      </c>
      <c r="P36" s="40">
        <v>0.0</v>
      </c>
      <c r="Q36" s="40">
        <v>0.0</v>
      </c>
      <c r="R36" s="40">
        <v>0.0</v>
      </c>
      <c r="S36" s="40">
        <v>0.0</v>
      </c>
      <c r="T36" s="40">
        <v>0.0</v>
      </c>
      <c r="U36" s="40">
        <v>0.0</v>
      </c>
      <c r="V36" s="40">
        <v>0.0</v>
      </c>
      <c r="W36" s="40">
        <v>0.0</v>
      </c>
      <c r="X36" s="31">
        <v>0.0</v>
      </c>
      <c r="Y36" s="31">
        <v>0.0</v>
      </c>
      <c r="Z36" s="31">
        <v>0.0</v>
      </c>
      <c r="AA36" s="31">
        <v>0.0</v>
      </c>
      <c r="AB36" s="31">
        <v>0.0</v>
      </c>
      <c r="AC36" s="31">
        <v>0.0</v>
      </c>
      <c r="AD36" s="31">
        <v>0.0</v>
      </c>
      <c r="AE36" s="31">
        <v>0.0</v>
      </c>
      <c r="AF36" s="31">
        <v>0.0</v>
      </c>
      <c r="AG36" s="31">
        <v>0.0</v>
      </c>
      <c r="AH36" s="31">
        <v>0.0</v>
      </c>
      <c r="AI36" s="31">
        <v>0.0</v>
      </c>
      <c r="AJ36" s="31">
        <v>0.0</v>
      </c>
      <c r="AK36" s="31">
        <v>0.0</v>
      </c>
      <c r="AL36" s="31">
        <v>0.0</v>
      </c>
      <c r="AM36" s="31">
        <v>0.0</v>
      </c>
      <c r="AN36" s="31">
        <v>0.0</v>
      </c>
      <c r="AO36" s="31">
        <v>0.0</v>
      </c>
      <c r="AP36" s="31">
        <v>0.0</v>
      </c>
      <c r="AQ36" s="31">
        <v>0.0</v>
      </c>
      <c r="AR36" s="31">
        <v>0.0</v>
      </c>
      <c r="AS36" s="31">
        <v>0.0</v>
      </c>
      <c r="AT36" s="31"/>
      <c r="AU36" s="31"/>
      <c r="AV36" s="31"/>
      <c r="AW36" s="31"/>
      <c r="AX36" s="31"/>
      <c r="AY36" s="33"/>
      <c r="AZ36" s="33"/>
      <c r="BA36" s="33"/>
      <c r="BB36" s="33"/>
      <c r="BC36" s="33"/>
      <c r="BD36" s="33"/>
      <c r="BE36" s="33"/>
    </row>
    <row r="37">
      <c r="A37" s="26"/>
      <c r="B37" s="27" t="s">
        <v>5</v>
      </c>
      <c r="C37" s="38" t="s">
        <v>35</v>
      </c>
      <c r="D37" s="39" t="s">
        <v>10</v>
      </c>
      <c r="E37" s="30"/>
      <c r="F37" s="55">
        <f t="shared" ref="F37:G37" si="31">J37</f>
        <v>0.4435872133</v>
      </c>
      <c r="G37" s="55">
        <f t="shared" si="31"/>
        <v>0.4437930383</v>
      </c>
      <c r="H37" s="56">
        <f t="shared" si="24"/>
        <v>-0.000463786105</v>
      </c>
      <c r="I37" s="30"/>
      <c r="J37" s="40">
        <v>0.44358721330103756</v>
      </c>
      <c r="K37" s="40">
        <v>0.4437930383457376</v>
      </c>
      <c r="L37" s="40">
        <v>0.46222163182814463</v>
      </c>
      <c r="M37" s="40">
        <v>0.4317662515708898</v>
      </c>
      <c r="N37" s="40">
        <v>0.43905864015998114</v>
      </c>
      <c r="O37" s="40">
        <v>0.4378063607858195</v>
      </c>
      <c r="P37" s="40">
        <v>0.42457713717159223</v>
      </c>
      <c r="Q37" s="40">
        <v>0.41739707289581374</v>
      </c>
      <c r="R37" s="40">
        <v>0.4198149290561382</v>
      </c>
      <c r="S37" s="40">
        <v>0.4125742679933114</v>
      </c>
      <c r="T37" s="40">
        <v>0.3872003605532237</v>
      </c>
      <c r="U37" s="40">
        <v>0.38592843225576673</v>
      </c>
      <c r="V37" s="40">
        <v>0.38511719499063335</v>
      </c>
      <c r="W37" s="40">
        <v>0.3873368968903646</v>
      </c>
      <c r="X37" s="31">
        <v>0.3720390699381719</v>
      </c>
      <c r="Y37" s="31">
        <v>0.40204980143880303</v>
      </c>
      <c r="Z37" s="31">
        <v>0.38996748584163954</v>
      </c>
      <c r="AA37" s="31">
        <v>0.36153419376950113</v>
      </c>
      <c r="AB37" s="31">
        <v>0.32435750223602505</v>
      </c>
      <c r="AC37" s="31">
        <v>0.31211767935392265</v>
      </c>
      <c r="AD37" s="31">
        <v>0.323004123792692</v>
      </c>
      <c r="AE37" s="31">
        <v>0.3536508217670204</v>
      </c>
      <c r="AF37" s="31">
        <v>0.33881384482575233</v>
      </c>
      <c r="AG37" s="31">
        <v>0.31954126104719516</v>
      </c>
      <c r="AH37" s="31">
        <v>0.30780842670831926</v>
      </c>
      <c r="AI37" s="31">
        <v>0.3410470222529235</v>
      </c>
      <c r="AJ37" s="31">
        <v>0.36912042280105695</v>
      </c>
      <c r="AK37" s="31">
        <v>0.3189699830904417</v>
      </c>
      <c r="AL37" s="31">
        <v>0.3006024227793612</v>
      </c>
      <c r="AM37" s="31">
        <v>0.30488160968358474</v>
      </c>
      <c r="AN37" s="31">
        <v>0.3149282948376176</v>
      </c>
      <c r="AO37" s="31">
        <v>0.3105518908965065</v>
      </c>
      <c r="AP37" s="31">
        <v>0.3174261124603522</v>
      </c>
      <c r="AQ37" s="31">
        <v>0.31510798533781215</v>
      </c>
      <c r="AR37" s="31">
        <v>0.2992158869284972</v>
      </c>
      <c r="AS37" s="31">
        <v>0.30636055581330374</v>
      </c>
      <c r="AT37" s="31"/>
      <c r="AU37" s="31"/>
      <c r="AV37" s="31"/>
      <c r="AW37" s="31"/>
      <c r="AX37" s="31"/>
      <c r="AY37" s="33"/>
      <c r="AZ37" s="33"/>
      <c r="BA37" s="33"/>
      <c r="BB37" s="33"/>
      <c r="BC37" s="33"/>
      <c r="BD37" s="33"/>
      <c r="BE37" s="33"/>
    </row>
    <row r="38">
      <c r="D38" s="3"/>
      <c r="F38" s="5"/>
      <c r="G38" s="5"/>
      <c r="H38" s="5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>
      <c r="C39" s="20" t="s">
        <v>36</v>
      </c>
      <c r="D39" s="21" t="s">
        <v>4</v>
      </c>
      <c r="F39" s="23"/>
      <c r="G39" s="23"/>
      <c r="H39" s="23"/>
      <c r="I39" s="17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5"/>
      <c r="AZ39" s="25"/>
      <c r="BA39" s="25"/>
      <c r="BB39" s="25"/>
      <c r="BC39" s="25"/>
      <c r="BD39" s="25"/>
      <c r="BE39" s="25"/>
    </row>
    <row r="40">
      <c r="A40" s="26"/>
      <c r="B40" s="27"/>
      <c r="C40" s="28" t="s">
        <v>37</v>
      </c>
      <c r="D40" s="39" t="s">
        <v>10</v>
      </c>
      <c r="E40" s="30"/>
      <c r="F40" s="55">
        <f t="shared" ref="F40:G40" si="32">J40</f>
        <v>1</v>
      </c>
      <c r="G40" s="55">
        <f t="shared" si="32"/>
        <v>1</v>
      </c>
      <c r="H40" s="32">
        <f t="shared" ref="H40:H48" si="34">IFERROR(F40/G40-1,"-")</f>
        <v>0</v>
      </c>
      <c r="I40" s="30"/>
      <c r="J40" s="40">
        <v>1.0</v>
      </c>
      <c r="K40" s="40">
        <v>1.0</v>
      </c>
      <c r="L40" s="40">
        <v>1.0</v>
      </c>
      <c r="M40" s="40">
        <v>1.0</v>
      </c>
      <c r="N40" s="40">
        <v>1.0</v>
      </c>
      <c r="O40" s="40">
        <v>1.0</v>
      </c>
      <c r="P40" s="40">
        <v>1.0</v>
      </c>
      <c r="Q40" s="40">
        <v>1.0</v>
      </c>
      <c r="R40" s="40">
        <v>1.0</v>
      </c>
      <c r="S40" s="40">
        <v>1.0</v>
      </c>
      <c r="T40" s="40">
        <v>1.0</v>
      </c>
      <c r="U40" s="40">
        <v>1.0</v>
      </c>
      <c r="V40" s="40">
        <v>1.0</v>
      </c>
      <c r="W40" s="40">
        <v>1.0</v>
      </c>
      <c r="X40" s="31">
        <v>1.0</v>
      </c>
      <c r="Y40" s="31">
        <v>1.0</v>
      </c>
      <c r="Z40" s="31">
        <v>1.0</v>
      </c>
      <c r="AA40" s="31">
        <v>1.0</v>
      </c>
      <c r="AB40" s="31">
        <v>1.0</v>
      </c>
      <c r="AC40" s="31">
        <v>1.0</v>
      </c>
      <c r="AD40" s="31">
        <v>1.0</v>
      </c>
      <c r="AE40" s="31"/>
      <c r="AF40" s="31"/>
      <c r="AG40" s="31"/>
      <c r="AH40" s="31"/>
      <c r="AI40" s="31"/>
      <c r="AJ40" s="31"/>
      <c r="AK40" s="31">
        <v>1.0</v>
      </c>
      <c r="AL40" s="31">
        <v>1.0</v>
      </c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3"/>
      <c r="AZ40" s="33"/>
      <c r="BA40" s="33"/>
      <c r="BB40" s="33"/>
      <c r="BC40" s="33"/>
      <c r="BD40" s="33"/>
      <c r="BE40" s="33"/>
    </row>
    <row r="41">
      <c r="A41" s="26"/>
      <c r="B41" s="27" t="s">
        <v>5</v>
      </c>
      <c r="C41" s="38" t="s">
        <v>38</v>
      </c>
      <c r="D41" s="39" t="s">
        <v>10</v>
      </c>
      <c r="E41" s="30"/>
      <c r="F41" s="55">
        <f t="shared" ref="F41:G41" si="33">J41</f>
        <v>0.4975171712</v>
      </c>
      <c r="G41" s="55">
        <f t="shared" si="33"/>
        <v>0.4921138437</v>
      </c>
      <c r="H41" s="32">
        <f t="shared" si="34"/>
        <v>0.01097983222</v>
      </c>
      <c r="I41" s="30"/>
      <c r="J41" s="40">
        <v>0.49751717118759353</v>
      </c>
      <c r="K41" s="40">
        <v>0.49211384374953987</v>
      </c>
      <c r="L41" s="40">
        <v>0.4472653580962158</v>
      </c>
      <c r="M41" s="40">
        <v>0.44807735930140385</v>
      </c>
      <c r="N41" s="40">
        <v>0.6351097898969851</v>
      </c>
      <c r="O41" s="40">
        <v>0.31937080110779004</v>
      </c>
      <c r="P41" s="40">
        <v>0.26664983305066065</v>
      </c>
      <c r="Q41" s="40">
        <v>0.23414388431017552</v>
      </c>
      <c r="R41" s="40">
        <v>0.4674004600902186</v>
      </c>
      <c r="S41" s="40">
        <v>0.5585988100795902</v>
      </c>
      <c r="T41" s="40">
        <v>0.4403114362369282</v>
      </c>
      <c r="U41" s="40">
        <v>0.5058693105736187</v>
      </c>
      <c r="V41" s="40">
        <v>0.49091648382487507</v>
      </c>
      <c r="W41" s="40">
        <v>0.5132447049474372</v>
      </c>
      <c r="X41" s="31">
        <v>0.5247352523549479</v>
      </c>
      <c r="Y41" s="31">
        <v>0.4997394967356589</v>
      </c>
      <c r="Z41" s="31">
        <v>0.6047563620851806</v>
      </c>
      <c r="AA41" s="31">
        <v>0.6736055090296648</v>
      </c>
      <c r="AB41" s="31">
        <v>0.6708415847596351</v>
      </c>
      <c r="AC41" s="31">
        <v>0.659415842797182</v>
      </c>
      <c r="AD41" s="31">
        <v>0.6002723615676548</v>
      </c>
      <c r="AE41" s="31"/>
      <c r="AF41" s="31"/>
      <c r="AG41" s="31"/>
      <c r="AH41" s="31"/>
      <c r="AI41" s="31"/>
      <c r="AJ41" s="31"/>
      <c r="AK41" s="31">
        <v>0.5451516421857313</v>
      </c>
      <c r="AL41" s="31">
        <v>0.5367363850418351</v>
      </c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3"/>
      <c r="AZ41" s="33"/>
      <c r="BA41" s="33"/>
      <c r="BB41" s="33"/>
      <c r="BC41" s="33"/>
      <c r="BD41" s="33"/>
      <c r="BE41" s="33"/>
    </row>
    <row r="42">
      <c r="A42" s="26"/>
      <c r="B42" s="27" t="s">
        <v>5</v>
      </c>
      <c r="C42" s="38" t="s">
        <v>29</v>
      </c>
      <c r="D42" s="39" t="s">
        <v>10</v>
      </c>
      <c r="E42" s="30"/>
      <c r="F42" s="55">
        <f t="shared" ref="F42:G42" si="35">J42</f>
        <v>0.1680945871</v>
      </c>
      <c r="G42" s="55">
        <f t="shared" si="35"/>
        <v>0.1789928053</v>
      </c>
      <c r="H42" s="32">
        <f t="shared" si="34"/>
        <v>-0.06088634788</v>
      </c>
      <c r="I42" s="30"/>
      <c r="J42" s="40">
        <v>0.16809458710306321</v>
      </c>
      <c r="K42" s="40">
        <v>0.17899280531472</v>
      </c>
      <c r="L42" s="40">
        <v>0.2065088430382976</v>
      </c>
      <c r="M42" s="40">
        <v>0.1993158651652309</v>
      </c>
      <c r="N42" s="40">
        <v>0.09595535870833229</v>
      </c>
      <c r="O42" s="40">
        <v>0.21857213958184743</v>
      </c>
      <c r="P42" s="40">
        <v>0.2029200405755133</v>
      </c>
      <c r="Q42" s="40">
        <v>0.2255571454987922</v>
      </c>
      <c r="R42" s="40">
        <v>0.1668770165323841</v>
      </c>
      <c r="S42" s="40">
        <v>0.15808339935208823</v>
      </c>
      <c r="T42" s="40">
        <v>0.18940245459354854</v>
      </c>
      <c r="U42" s="40">
        <v>0.18176924011397708</v>
      </c>
      <c r="V42" s="40">
        <v>0.18569994475804166</v>
      </c>
      <c r="W42" s="40">
        <v>0.18142802016848242</v>
      </c>
      <c r="X42" s="31">
        <v>0.1622699696073654</v>
      </c>
      <c r="Y42" s="31">
        <v>0.13726113566229375</v>
      </c>
      <c r="Z42" s="31">
        <v>0.11340340146714852</v>
      </c>
      <c r="AA42" s="31">
        <v>0.07906427089027321</v>
      </c>
      <c r="AB42" s="31">
        <v>0.07850435690701675</v>
      </c>
      <c r="AC42" s="31">
        <v>0.0832346985450898</v>
      </c>
      <c r="AD42" s="31">
        <v>0.07385951461802802</v>
      </c>
      <c r="AE42" s="31"/>
      <c r="AF42" s="31"/>
      <c r="AG42" s="31"/>
      <c r="AH42" s="31"/>
      <c r="AI42" s="31"/>
      <c r="AJ42" s="31"/>
      <c r="AK42" s="31">
        <v>0.0682018171372803</v>
      </c>
      <c r="AL42" s="31">
        <v>0.06864764524021115</v>
      </c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3"/>
      <c r="AZ42" s="33"/>
      <c r="BA42" s="33"/>
      <c r="BB42" s="33"/>
      <c r="BC42" s="33"/>
      <c r="BD42" s="33"/>
      <c r="BE42" s="33"/>
    </row>
    <row r="43">
      <c r="A43" s="26"/>
      <c r="B43" s="27" t="s">
        <v>5</v>
      </c>
      <c r="C43" s="38" t="s">
        <v>39</v>
      </c>
      <c r="D43" s="39" t="s">
        <v>10</v>
      </c>
      <c r="E43" s="30"/>
      <c r="F43" s="55">
        <f t="shared" ref="F43:G43" si="36">J43</f>
        <v>0.2746819683</v>
      </c>
      <c r="G43" s="55">
        <f t="shared" si="36"/>
        <v>0.2687186651</v>
      </c>
      <c r="H43" s="32">
        <f t="shared" si="34"/>
        <v>0.02219162231</v>
      </c>
      <c r="I43" s="30"/>
      <c r="J43" s="40">
        <v>0.2746819682681054</v>
      </c>
      <c r="K43" s="40">
        <v>0.268718665143165</v>
      </c>
      <c r="L43" s="40">
        <v>0.2707418174800438</v>
      </c>
      <c r="M43" s="40">
        <v>0.28722117780123746</v>
      </c>
      <c r="N43" s="40">
        <v>0.24914992255391222</v>
      </c>
      <c r="O43" s="40">
        <v>0.43763081797461256</v>
      </c>
      <c r="P43" s="40">
        <v>0.49969779634196776</v>
      </c>
      <c r="Q43" s="40">
        <v>0.5020642634946448</v>
      </c>
      <c r="R43" s="40">
        <v>0.3392070358892547</v>
      </c>
      <c r="S43" s="40">
        <v>0.2623762399188965</v>
      </c>
      <c r="T43" s="40">
        <v>0.345950423599874</v>
      </c>
      <c r="U43" s="40">
        <v>0.29468507333845645</v>
      </c>
      <c r="V43" s="40">
        <v>0.3134003183138149</v>
      </c>
      <c r="W43" s="40">
        <v>0.28897384078758426</v>
      </c>
      <c r="X43" s="31">
        <v>0.28990693092602465</v>
      </c>
      <c r="Y43" s="31">
        <v>0.31508324694822765</v>
      </c>
      <c r="Z43" s="31">
        <v>0.2522823982930806</v>
      </c>
      <c r="AA43" s="31">
        <v>0.22202264238602437</v>
      </c>
      <c r="AB43" s="31">
        <v>0.2240448594340954</v>
      </c>
      <c r="AC43" s="31">
        <v>0.22984621978637798</v>
      </c>
      <c r="AD43" s="31">
        <v>0.30038873894421003</v>
      </c>
      <c r="AE43" s="31"/>
      <c r="AF43" s="31"/>
      <c r="AG43" s="31"/>
      <c r="AH43" s="31"/>
      <c r="AI43" s="31"/>
      <c r="AJ43" s="31"/>
      <c r="AK43" s="31">
        <v>0.32537075999802634</v>
      </c>
      <c r="AL43" s="31">
        <v>0.3307671021971401</v>
      </c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3"/>
      <c r="AZ43" s="33"/>
      <c r="BA43" s="33"/>
      <c r="BB43" s="33"/>
      <c r="BC43" s="33"/>
      <c r="BD43" s="33"/>
      <c r="BE43" s="33"/>
    </row>
    <row r="44">
      <c r="A44" s="26"/>
      <c r="B44" s="27" t="s">
        <v>5</v>
      </c>
      <c r="C44" s="38" t="s">
        <v>40</v>
      </c>
      <c r="D44" s="39" t="s">
        <v>10</v>
      </c>
      <c r="E44" s="30"/>
      <c r="F44" s="55">
        <f t="shared" ref="F44:G44" si="37">J44</f>
        <v>0.05615451714</v>
      </c>
      <c r="G44" s="55">
        <f t="shared" si="37"/>
        <v>0.05566425031</v>
      </c>
      <c r="H44" s="32">
        <f t="shared" si="34"/>
        <v>0.008807570848</v>
      </c>
      <c r="I44" s="30"/>
      <c r="J44" s="40">
        <v>0.056154517139360816</v>
      </c>
      <c r="K44" s="40">
        <v>0.055664250311065616</v>
      </c>
      <c r="L44" s="40">
        <v>0.07024714428748263</v>
      </c>
      <c r="M44" s="40">
        <v>0.055501727152926165</v>
      </c>
      <c r="N44" s="40">
        <v>0.019048644306695235</v>
      </c>
      <c r="O44" s="40">
        <v>0.024364303938078136</v>
      </c>
      <c r="P44" s="40">
        <v>0.02887463180688383</v>
      </c>
      <c r="Q44" s="40">
        <v>0.032197689533573715</v>
      </c>
      <c r="R44" s="40">
        <v>0.02113633656310724</v>
      </c>
      <c r="S44" s="40">
        <v>0.017636814477897667</v>
      </c>
      <c r="T44" s="40">
        <v>0.023620800435181832</v>
      </c>
      <c r="U44" s="40">
        <v>0.01737755534430702</v>
      </c>
      <c r="V44" s="40">
        <v>0.009766637511918497</v>
      </c>
      <c r="W44" s="40">
        <v>0.016058785477897977</v>
      </c>
      <c r="X44" s="31">
        <v>0.02278849434250679</v>
      </c>
      <c r="Y44" s="31">
        <v>0.04791612065381957</v>
      </c>
      <c r="Z44" s="31">
        <v>0.029557838154590527</v>
      </c>
      <c r="AA44" s="31">
        <v>0.02530757769403762</v>
      </c>
      <c r="AB44" s="31">
        <v>0.02660919889925251</v>
      </c>
      <c r="AC44" s="31">
        <v>0.027503238871350526</v>
      </c>
      <c r="AD44" s="31">
        <v>0.025479384870106852</v>
      </c>
      <c r="AE44" s="31"/>
      <c r="AF44" s="31"/>
      <c r="AG44" s="31"/>
      <c r="AH44" s="31"/>
      <c r="AI44" s="31"/>
      <c r="AJ44" s="31"/>
      <c r="AK44" s="31">
        <v>0.0612592218921265</v>
      </c>
      <c r="AL44" s="31">
        <v>0.06384251465040391</v>
      </c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3"/>
      <c r="AZ44" s="33"/>
      <c r="BA44" s="33"/>
      <c r="BB44" s="33"/>
      <c r="BC44" s="33"/>
      <c r="BD44" s="33"/>
      <c r="BE44" s="33"/>
    </row>
    <row r="45">
      <c r="A45" s="26"/>
      <c r="B45" s="27" t="s">
        <v>5</v>
      </c>
      <c r="C45" s="38" t="s">
        <v>41</v>
      </c>
      <c r="D45" s="39" t="s">
        <v>10</v>
      </c>
      <c r="E45" s="30"/>
      <c r="F45" s="55">
        <f t="shared" ref="F45:G45" si="38">J45</f>
        <v>0</v>
      </c>
      <c r="G45" s="55">
        <f t="shared" si="38"/>
        <v>0</v>
      </c>
      <c r="H45" s="32" t="str">
        <f t="shared" si="34"/>
        <v>-</v>
      </c>
      <c r="I45" s="30"/>
      <c r="J45" s="40">
        <v>0.0</v>
      </c>
      <c r="K45" s="40">
        <v>0.0</v>
      </c>
      <c r="L45" s="40">
        <v>0.0</v>
      </c>
      <c r="M45" s="40">
        <v>0.0</v>
      </c>
      <c r="N45" s="40">
        <v>0.0</v>
      </c>
      <c r="O45" s="40">
        <v>0.0</v>
      </c>
      <c r="P45" s="40">
        <v>0.0</v>
      </c>
      <c r="Q45" s="40">
        <v>0.0</v>
      </c>
      <c r="R45" s="40">
        <v>0.0</v>
      </c>
      <c r="S45" s="40">
        <v>0.0</v>
      </c>
      <c r="T45" s="40">
        <v>0.0</v>
      </c>
      <c r="U45" s="40">
        <v>0.0</v>
      </c>
      <c r="V45" s="40">
        <v>0.0</v>
      </c>
      <c r="W45" s="40">
        <v>0.0</v>
      </c>
      <c r="X45" s="31">
        <v>0.0</v>
      </c>
      <c r="Y45" s="31">
        <v>0.0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/>
      <c r="AF45" s="31"/>
      <c r="AG45" s="31"/>
      <c r="AH45" s="31"/>
      <c r="AI45" s="31"/>
      <c r="AJ45" s="31"/>
      <c r="AK45" s="31">
        <v>0.0</v>
      </c>
      <c r="AL45" s="31">
        <v>0.0</v>
      </c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3"/>
      <c r="AZ45" s="33"/>
      <c r="BA45" s="33"/>
      <c r="BB45" s="33"/>
      <c r="BC45" s="33"/>
      <c r="BD45" s="33"/>
      <c r="BE45" s="33"/>
    </row>
    <row r="46">
      <c r="A46" s="26"/>
      <c r="B46" s="27" t="s">
        <v>5</v>
      </c>
      <c r="C46" s="38" t="s">
        <v>33</v>
      </c>
      <c r="D46" s="39" t="s">
        <v>10</v>
      </c>
      <c r="E46" s="30"/>
      <c r="F46" s="55">
        <f t="shared" ref="F46:G46" si="39">J46</f>
        <v>0</v>
      </c>
      <c r="G46" s="55">
        <f t="shared" si="39"/>
        <v>0</v>
      </c>
      <c r="H46" s="32" t="str">
        <f t="shared" si="34"/>
        <v>-</v>
      </c>
      <c r="I46" s="30"/>
      <c r="J46" s="40">
        <v>0.0</v>
      </c>
      <c r="K46" s="40">
        <v>0.0</v>
      </c>
      <c r="L46" s="40">
        <v>0.0</v>
      </c>
      <c r="M46" s="40">
        <v>0.0</v>
      </c>
      <c r="N46" s="40">
        <v>0.0</v>
      </c>
      <c r="O46" s="40">
        <v>0.0</v>
      </c>
      <c r="P46" s="40">
        <v>0.0</v>
      </c>
      <c r="Q46" s="40">
        <v>0.0</v>
      </c>
      <c r="R46" s="40">
        <v>0.0</v>
      </c>
      <c r="S46" s="40">
        <v>0.0</v>
      </c>
      <c r="T46" s="40">
        <v>0.0</v>
      </c>
      <c r="U46" s="40">
        <v>0.0</v>
      </c>
      <c r="V46" s="40">
        <v>0.0</v>
      </c>
      <c r="W46" s="40">
        <v>0.0</v>
      </c>
      <c r="X46" s="31">
        <v>0.0</v>
      </c>
      <c r="Y46" s="31">
        <v>0.0</v>
      </c>
      <c r="Z46" s="31">
        <v>0.0</v>
      </c>
      <c r="AA46" s="31">
        <v>0.0</v>
      </c>
      <c r="AB46" s="31">
        <v>0.0</v>
      </c>
      <c r="AC46" s="31">
        <v>0.0</v>
      </c>
      <c r="AD46" s="31">
        <v>0.0</v>
      </c>
      <c r="AE46" s="31"/>
      <c r="AF46" s="31"/>
      <c r="AG46" s="31"/>
      <c r="AH46" s="31"/>
      <c r="AI46" s="31"/>
      <c r="AJ46" s="31"/>
      <c r="AK46" s="31">
        <v>0.0</v>
      </c>
      <c r="AL46" s="31">
        <v>0.0</v>
      </c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3"/>
      <c r="AZ46" s="33"/>
      <c r="BA46" s="33"/>
      <c r="BB46" s="33"/>
      <c r="BC46" s="33"/>
      <c r="BD46" s="33"/>
      <c r="BE46" s="33"/>
    </row>
    <row r="47">
      <c r="A47" s="26"/>
      <c r="B47" s="27" t="s">
        <v>5</v>
      </c>
      <c r="C47" s="38" t="s">
        <v>34</v>
      </c>
      <c r="D47" s="39" t="s">
        <v>10</v>
      </c>
      <c r="E47" s="30"/>
      <c r="F47" s="55">
        <f t="shared" ref="F47:G47" si="40">J47</f>
        <v>0</v>
      </c>
      <c r="G47" s="55">
        <f t="shared" si="40"/>
        <v>0</v>
      </c>
      <c r="H47" s="32" t="str">
        <f t="shared" si="34"/>
        <v>-</v>
      </c>
      <c r="I47" s="30"/>
      <c r="J47" s="40">
        <v>0.0</v>
      </c>
      <c r="K47" s="40">
        <v>0.0</v>
      </c>
      <c r="L47" s="40">
        <v>0.0</v>
      </c>
      <c r="M47" s="40">
        <v>0.0</v>
      </c>
      <c r="N47" s="40">
        <v>0.0</v>
      </c>
      <c r="O47" s="40">
        <v>0.0</v>
      </c>
      <c r="P47" s="40">
        <v>0.0</v>
      </c>
      <c r="Q47" s="40">
        <v>0.0</v>
      </c>
      <c r="R47" s="40">
        <v>0.0</v>
      </c>
      <c r="S47" s="40">
        <v>0.0</v>
      </c>
      <c r="T47" s="40">
        <v>0.0</v>
      </c>
      <c r="U47" s="40">
        <v>0.0</v>
      </c>
      <c r="V47" s="40">
        <v>0.0</v>
      </c>
      <c r="W47" s="40">
        <v>0.0</v>
      </c>
      <c r="X47" s="31">
        <v>0.0</v>
      </c>
      <c r="Y47" s="31">
        <v>0.0</v>
      </c>
      <c r="Z47" s="31">
        <v>0.0</v>
      </c>
      <c r="AA47" s="31">
        <v>0.0</v>
      </c>
      <c r="AB47" s="31">
        <v>0.0</v>
      </c>
      <c r="AC47" s="31">
        <v>0.0</v>
      </c>
      <c r="AD47" s="31">
        <v>0.0</v>
      </c>
      <c r="AE47" s="31"/>
      <c r="AF47" s="31"/>
      <c r="AG47" s="31"/>
      <c r="AH47" s="31"/>
      <c r="AI47" s="31"/>
      <c r="AJ47" s="31"/>
      <c r="AK47" s="31">
        <v>0.0</v>
      </c>
      <c r="AL47" s="31">
        <v>0.0</v>
      </c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3"/>
      <c r="AZ47" s="33"/>
      <c r="BA47" s="33"/>
      <c r="BB47" s="33"/>
      <c r="BC47" s="33"/>
      <c r="BD47" s="33"/>
      <c r="BE47" s="33"/>
    </row>
    <row r="48">
      <c r="A48" s="26"/>
      <c r="B48" s="27" t="s">
        <v>5</v>
      </c>
      <c r="C48" s="38" t="s">
        <v>42</v>
      </c>
      <c r="D48" s="39" t="s">
        <v>10</v>
      </c>
      <c r="E48" s="30"/>
      <c r="F48" s="55">
        <f t="shared" ref="F48:G48" si="41">J48</f>
        <v>0.003551756302</v>
      </c>
      <c r="G48" s="55">
        <f t="shared" si="41"/>
        <v>0.004510435482</v>
      </c>
      <c r="H48" s="32">
        <f t="shared" si="34"/>
        <v>-0.2125469223</v>
      </c>
      <c r="I48" s="30"/>
      <c r="J48" s="40">
        <v>0.0035517563018769957</v>
      </c>
      <c r="K48" s="40">
        <v>0.004510435481509494</v>
      </c>
      <c r="L48" s="40">
        <v>0.005236837097960199</v>
      </c>
      <c r="M48" s="40">
        <v>0.009883870579201596</v>
      </c>
      <c r="N48" s="40">
        <v>7.362845340751771E-4</v>
      </c>
      <c r="O48" s="40">
        <v>6.193739767184343E-5</v>
      </c>
      <c r="P48" s="40">
        <v>0.0018576982249744437</v>
      </c>
      <c r="Q48" s="40">
        <v>0.006037017162813796</v>
      </c>
      <c r="R48" s="40">
        <v>0.00537915092503544</v>
      </c>
      <c r="S48" s="40">
        <v>0.0033047361715273045</v>
      </c>
      <c r="T48" s="40">
        <v>7.148851344674675E-4</v>
      </c>
      <c r="U48" s="40">
        <v>2.9882062964072453E-4</v>
      </c>
      <c r="V48" s="40">
        <v>2.1661559134988608E-4</v>
      </c>
      <c r="W48" s="40">
        <v>2.9464861859813176E-4</v>
      </c>
      <c r="X48" s="31">
        <v>2.9935276915528543E-4</v>
      </c>
      <c r="Y48" s="31">
        <v>1.7328283849609566E-16</v>
      </c>
      <c r="Z48" s="31">
        <v>-2.829747938825008E-16</v>
      </c>
      <c r="AA48" s="31">
        <v>2.669826488412465E-17</v>
      </c>
      <c r="AB48" s="31">
        <v>2.2006410014433179E-16</v>
      </c>
      <c r="AC48" s="31">
        <v>-2.885430281539132E-16</v>
      </c>
      <c r="AD48" s="31">
        <v>2.0884180282036354E-16</v>
      </c>
      <c r="AE48" s="31"/>
      <c r="AF48" s="31"/>
      <c r="AG48" s="31"/>
      <c r="AH48" s="31"/>
      <c r="AI48" s="31"/>
      <c r="AJ48" s="31"/>
      <c r="AK48" s="31">
        <v>1.6558786835547336E-5</v>
      </c>
      <c r="AL48" s="31">
        <v>6.352870409798066E-6</v>
      </c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3"/>
      <c r="AZ48" s="33"/>
      <c r="BA48" s="33"/>
      <c r="BB48" s="33"/>
      <c r="BC48" s="33"/>
      <c r="BD48" s="33"/>
      <c r="BE48" s="33"/>
    </row>
    <row r="49">
      <c r="D49" s="3"/>
      <c r="F49" s="4"/>
      <c r="G49" s="4"/>
      <c r="H49" s="5"/>
    </row>
    <row r="50">
      <c r="C50" s="20" t="s">
        <v>43</v>
      </c>
      <c r="D50" s="21" t="s">
        <v>4</v>
      </c>
      <c r="F50" s="23"/>
      <c r="G50" s="23"/>
      <c r="H50" s="23"/>
      <c r="I50" s="17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5"/>
      <c r="AZ50" s="25"/>
      <c r="BA50" s="25"/>
      <c r="BB50" s="25"/>
      <c r="BC50" s="25"/>
      <c r="BD50" s="25"/>
      <c r="BE50" s="25"/>
    </row>
    <row r="51">
      <c r="C51" s="28" t="s">
        <v>37</v>
      </c>
      <c r="D51" s="39" t="s">
        <v>10</v>
      </c>
      <c r="F51" s="55">
        <f t="shared" ref="F51:G51" si="42">J51</f>
        <v>1</v>
      </c>
      <c r="G51" s="55">
        <f t="shared" si="42"/>
        <v>1</v>
      </c>
      <c r="H51" s="32">
        <f t="shared" ref="H51:H57" si="44">IFERROR(F51/G51-1,"-")</f>
        <v>0</v>
      </c>
      <c r="J51" s="58">
        <v>1.0</v>
      </c>
      <c r="K51" s="58">
        <v>1.0</v>
      </c>
      <c r="L51" s="58">
        <v>1.0</v>
      </c>
      <c r="M51" s="58">
        <v>1.0</v>
      </c>
      <c r="N51" s="58">
        <v>1.0</v>
      </c>
      <c r="O51" s="58">
        <v>1.0</v>
      </c>
      <c r="P51" s="58">
        <v>1.0</v>
      </c>
      <c r="Q51" s="58">
        <v>1.0</v>
      </c>
      <c r="R51" s="58">
        <v>1.0</v>
      </c>
      <c r="S51" s="58">
        <v>1.0</v>
      </c>
      <c r="T51" s="58">
        <v>1.0</v>
      </c>
      <c r="U51" s="58">
        <v>1.0</v>
      </c>
      <c r="V51" s="58">
        <v>1.0</v>
      </c>
      <c r="W51" s="58">
        <v>1.0</v>
      </c>
      <c r="X51" s="31">
        <v>1.0</v>
      </c>
      <c r="Y51" s="31">
        <v>1.0</v>
      </c>
      <c r="Z51" s="31">
        <v>1.0</v>
      </c>
      <c r="AA51" s="31">
        <v>1.0</v>
      </c>
      <c r="AB51" s="59">
        <v>1.0</v>
      </c>
      <c r="AC51" s="59">
        <v>1.0</v>
      </c>
      <c r="AD51" s="59">
        <v>1.0</v>
      </c>
    </row>
    <row r="52">
      <c r="C52" s="60" t="s">
        <v>44</v>
      </c>
      <c r="D52" s="39" t="s">
        <v>10</v>
      </c>
      <c r="F52" s="55">
        <f t="shared" ref="F52:G52" si="43">J52</f>
        <v>0</v>
      </c>
      <c r="G52" s="55">
        <f t="shared" si="43"/>
        <v>0</v>
      </c>
      <c r="H52" s="32" t="str">
        <f t="shared" si="44"/>
        <v>-</v>
      </c>
      <c r="J52" s="58">
        <v>0.0</v>
      </c>
      <c r="K52" s="58">
        <v>0.0</v>
      </c>
      <c r="L52" s="58">
        <v>0.0</v>
      </c>
      <c r="M52" s="58">
        <v>0.0</v>
      </c>
      <c r="N52" s="58">
        <v>0.0</v>
      </c>
      <c r="O52" s="58">
        <v>0.0</v>
      </c>
      <c r="P52" s="58">
        <v>0.0</v>
      </c>
      <c r="Q52" s="58">
        <v>0.0</v>
      </c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31">
        <v>0.0</v>
      </c>
      <c r="Y52" s="31">
        <v>0.0</v>
      </c>
      <c r="Z52" s="31">
        <v>0.0</v>
      </c>
      <c r="AA52" s="31">
        <v>0.0</v>
      </c>
      <c r="AB52" s="59">
        <v>0.0</v>
      </c>
      <c r="AC52" s="59">
        <v>0.0</v>
      </c>
      <c r="AD52" s="59">
        <v>0.0</v>
      </c>
    </row>
    <row r="53">
      <c r="C53" s="60" t="s">
        <v>45</v>
      </c>
      <c r="D53" s="39" t="s">
        <v>10</v>
      </c>
      <c r="F53" s="55">
        <f t="shared" ref="F53:G53" si="45">J53</f>
        <v>0</v>
      </c>
      <c r="G53" s="55">
        <f t="shared" si="45"/>
        <v>0</v>
      </c>
      <c r="H53" s="32" t="str">
        <f t="shared" si="44"/>
        <v>-</v>
      </c>
      <c r="J53" s="58">
        <v>0.0</v>
      </c>
      <c r="K53" s="58">
        <v>0.0</v>
      </c>
      <c r="L53" s="58">
        <v>0.0</v>
      </c>
      <c r="M53" s="58">
        <v>0.0</v>
      </c>
      <c r="N53" s="58">
        <v>0.0</v>
      </c>
      <c r="O53" s="58">
        <v>0.0</v>
      </c>
      <c r="P53" s="58">
        <v>0.0</v>
      </c>
      <c r="Q53" s="58">
        <v>0.0</v>
      </c>
      <c r="R53" s="58">
        <v>0.0</v>
      </c>
      <c r="S53" s="58">
        <v>0.0</v>
      </c>
      <c r="T53" s="58">
        <v>0.0</v>
      </c>
      <c r="U53" s="58">
        <v>0.0</v>
      </c>
      <c r="V53" s="58">
        <v>0.0</v>
      </c>
      <c r="W53" s="58">
        <v>0.0</v>
      </c>
      <c r="X53" s="31">
        <v>0.0</v>
      </c>
      <c r="Y53" s="31">
        <v>0.0</v>
      </c>
      <c r="Z53" s="31">
        <v>0.0</v>
      </c>
      <c r="AA53" s="31">
        <v>0.0</v>
      </c>
      <c r="AB53" s="59">
        <v>0.0</v>
      </c>
      <c r="AC53" s="59">
        <v>0.0</v>
      </c>
      <c r="AD53" s="59">
        <v>0.0</v>
      </c>
    </row>
    <row r="54">
      <c r="C54" s="60" t="s">
        <v>46</v>
      </c>
      <c r="D54" s="39" t="s">
        <v>10</v>
      </c>
      <c r="F54" s="55">
        <f t="shared" ref="F54:G54" si="46">J54</f>
        <v>0</v>
      </c>
      <c r="G54" s="55">
        <f t="shared" si="46"/>
        <v>0</v>
      </c>
      <c r="H54" s="32" t="str">
        <f t="shared" si="44"/>
        <v>-</v>
      </c>
      <c r="J54" s="58">
        <v>0.0</v>
      </c>
      <c r="K54" s="58">
        <v>0.0</v>
      </c>
      <c r="L54" s="58">
        <v>0.0</v>
      </c>
      <c r="M54" s="58">
        <v>0.0</v>
      </c>
      <c r="N54" s="58">
        <v>0.0</v>
      </c>
      <c r="O54" s="58">
        <v>0.0</v>
      </c>
      <c r="P54" s="58">
        <v>0.0</v>
      </c>
      <c r="Q54" s="58">
        <v>0.0</v>
      </c>
      <c r="R54" s="58">
        <v>0.0</v>
      </c>
      <c r="S54" s="58">
        <v>0.0</v>
      </c>
      <c r="T54" s="58">
        <v>0.0</v>
      </c>
      <c r="U54" s="58">
        <v>0.0</v>
      </c>
      <c r="V54" s="58">
        <v>0.0</v>
      </c>
      <c r="W54" s="58">
        <v>0.0</v>
      </c>
      <c r="X54" s="31">
        <v>0.0</v>
      </c>
      <c r="Y54" s="31">
        <v>0.0</v>
      </c>
      <c r="Z54" s="31">
        <v>0.0</v>
      </c>
      <c r="AA54" s="31">
        <v>0.0</v>
      </c>
      <c r="AB54" s="59">
        <v>0.0</v>
      </c>
      <c r="AC54" s="59">
        <v>0.0</v>
      </c>
      <c r="AD54" s="59">
        <v>0.0</v>
      </c>
    </row>
    <row r="55">
      <c r="C55" s="60" t="s">
        <v>47</v>
      </c>
      <c r="D55" s="39" t="s">
        <v>10</v>
      </c>
      <c r="F55" s="55">
        <f t="shared" ref="F55:G55" si="47">J55</f>
        <v>0</v>
      </c>
      <c r="G55" s="55">
        <f t="shared" si="47"/>
        <v>0</v>
      </c>
      <c r="H55" s="32" t="str">
        <f t="shared" si="44"/>
        <v>-</v>
      </c>
      <c r="J55" s="58">
        <v>0.0</v>
      </c>
      <c r="K55" s="58">
        <v>0.0</v>
      </c>
      <c r="L55" s="58">
        <v>0.0</v>
      </c>
      <c r="M55" s="58">
        <v>0.0</v>
      </c>
      <c r="N55" s="58">
        <v>0.0</v>
      </c>
      <c r="O55" s="58">
        <v>0.0</v>
      </c>
      <c r="P55" s="58">
        <v>0.0</v>
      </c>
      <c r="Q55" s="58">
        <v>0.0</v>
      </c>
      <c r="R55" s="58">
        <v>0.0</v>
      </c>
      <c r="S55" s="58">
        <v>0.0</v>
      </c>
      <c r="T55" s="58">
        <v>0.0</v>
      </c>
      <c r="U55" s="58">
        <v>0.0</v>
      </c>
      <c r="V55" s="58">
        <v>0.0</v>
      </c>
      <c r="W55" s="58">
        <v>0.0</v>
      </c>
      <c r="X55" s="31">
        <v>0.0</v>
      </c>
      <c r="Y55" s="31">
        <v>0.0</v>
      </c>
      <c r="Z55" s="31">
        <v>0.0</v>
      </c>
      <c r="AA55" s="31">
        <v>0.0</v>
      </c>
      <c r="AB55" s="59">
        <v>0.0</v>
      </c>
      <c r="AC55" s="59">
        <v>0.0</v>
      </c>
      <c r="AD55" s="59">
        <v>0.0</v>
      </c>
    </row>
    <row r="56">
      <c r="C56" s="60" t="s">
        <v>48</v>
      </c>
      <c r="D56" s="39" t="s">
        <v>10</v>
      </c>
      <c r="F56" s="55">
        <f t="shared" ref="F56:G56" si="48">J56</f>
        <v>0</v>
      </c>
      <c r="G56" s="55">
        <f t="shared" si="48"/>
        <v>0</v>
      </c>
      <c r="H56" s="32" t="str">
        <f t="shared" si="44"/>
        <v>-</v>
      </c>
      <c r="J56" s="58">
        <v>0.0</v>
      </c>
      <c r="K56" s="58">
        <v>0.0</v>
      </c>
      <c r="L56" s="58">
        <v>0.0</v>
      </c>
      <c r="M56" s="58">
        <v>0.0</v>
      </c>
      <c r="N56" s="58">
        <v>0.0</v>
      </c>
      <c r="O56" s="58">
        <v>0.0</v>
      </c>
      <c r="P56" s="58">
        <v>0.0</v>
      </c>
      <c r="Q56" s="58">
        <v>0.0</v>
      </c>
      <c r="R56" s="58">
        <v>0.0</v>
      </c>
      <c r="S56" s="58">
        <v>0.0</v>
      </c>
      <c r="T56" s="58">
        <v>0.0</v>
      </c>
      <c r="U56" s="58">
        <v>0.0</v>
      </c>
      <c r="V56" s="58">
        <v>0.0</v>
      </c>
      <c r="W56" s="58">
        <v>0.0</v>
      </c>
      <c r="X56" s="31">
        <v>0.0</v>
      </c>
      <c r="Y56" s="31">
        <v>0.0</v>
      </c>
      <c r="Z56" s="31">
        <v>0.0</v>
      </c>
      <c r="AA56" s="31">
        <v>0.0</v>
      </c>
      <c r="AB56" s="59">
        <v>0.0</v>
      </c>
      <c r="AC56" s="59">
        <v>0.0</v>
      </c>
      <c r="AD56" s="59">
        <v>0.0</v>
      </c>
    </row>
    <row r="57">
      <c r="C57" s="60" t="s">
        <v>49</v>
      </c>
      <c r="D57" s="39" t="s">
        <v>10</v>
      </c>
      <c r="F57" s="55">
        <f t="shared" ref="F57:G57" si="49">J57</f>
        <v>1</v>
      </c>
      <c r="G57" s="55">
        <f t="shared" si="49"/>
        <v>1</v>
      </c>
      <c r="H57" s="32">
        <f t="shared" si="44"/>
        <v>0</v>
      </c>
      <c r="J57" s="58">
        <v>1.0</v>
      </c>
      <c r="K57" s="58">
        <v>1.0</v>
      </c>
      <c r="L57" s="58">
        <v>1.0</v>
      </c>
      <c r="M57" s="58">
        <v>1.0</v>
      </c>
      <c r="N57" s="58">
        <v>1.0</v>
      </c>
      <c r="O57" s="58">
        <v>1.0</v>
      </c>
      <c r="P57" s="58">
        <v>1.0</v>
      </c>
      <c r="Q57" s="58">
        <v>1.0</v>
      </c>
      <c r="R57" s="58">
        <v>1.0</v>
      </c>
      <c r="S57" s="58">
        <v>1.0</v>
      </c>
      <c r="T57" s="58">
        <v>1.0</v>
      </c>
      <c r="U57" s="58">
        <v>1.0</v>
      </c>
      <c r="V57" s="58">
        <v>1.0</v>
      </c>
      <c r="W57" s="58">
        <v>1.0</v>
      </c>
      <c r="X57" s="31">
        <v>1.0</v>
      </c>
      <c r="Y57" s="31">
        <v>1.0</v>
      </c>
      <c r="Z57" s="31">
        <v>1.0</v>
      </c>
      <c r="AA57" s="31">
        <v>1.0</v>
      </c>
      <c r="AB57" s="59">
        <v>1.0</v>
      </c>
      <c r="AC57" s="59">
        <v>1.0</v>
      </c>
      <c r="AD57" s="59">
        <v>1.0</v>
      </c>
    </row>
    <row r="58">
      <c r="D58" s="3"/>
      <c r="F58" s="4"/>
      <c r="G58" s="4"/>
      <c r="H58" s="5"/>
    </row>
    <row r="59">
      <c r="D59" s="3"/>
      <c r="F59" s="4"/>
      <c r="G59" s="4"/>
      <c r="H59" s="5"/>
    </row>
    <row r="60">
      <c r="D60" s="3"/>
      <c r="F60" s="4"/>
      <c r="G60" s="4"/>
      <c r="H60" s="5"/>
    </row>
    <row r="61">
      <c r="D61" s="3"/>
      <c r="F61" s="4"/>
      <c r="G61" s="4"/>
      <c r="H61" s="5"/>
    </row>
    <row r="62">
      <c r="D62" s="3"/>
      <c r="F62" s="4"/>
      <c r="G62" s="4"/>
      <c r="H62" s="5"/>
    </row>
    <row r="63">
      <c r="D63" s="3"/>
      <c r="F63" s="4"/>
      <c r="G63" s="4"/>
      <c r="H63" s="5"/>
    </row>
    <row r="64">
      <c r="D64" s="3"/>
      <c r="F64" s="4"/>
      <c r="G64" s="4"/>
      <c r="H64" s="5"/>
    </row>
    <row r="65">
      <c r="D65" s="3"/>
      <c r="F65" s="4"/>
      <c r="G65" s="4"/>
      <c r="H65" s="5"/>
    </row>
    <row r="66">
      <c r="D66" s="3"/>
      <c r="F66" s="4"/>
      <c r="G66" s="4"/>
      <c r="H66" s="5"/>
    </row>
    <row r="67">
      <c r="D67" s="3"/>
      <c r="F67" s="4"/>
      <c r="G67" s="4"/>
      <c r="H67" s="5"/>
    </row>
    <row r="68">
      <c r="D68" s="3"/>
      <c r="F68" s="4"/>
      <c r="G68" s="4"/>
      <c r="H68" s="5"/>
    </row>
    <row r="69">
      <c r="D69" s="3"/>
      <c r="F69" s="4"/>
      <c r="G69" s="4"/>
      <c r="H69" s="5"/>
    </row>
    <row r="70">
      <c r="D70" s="3"/>
      <c r="F70" s="4"/>
      <c r="G70" s="4"/>
      <c r="H70" s="5"/>
    </row>
    <row r="71">
      <c r="D71" s="3"/>
      <c r="F71" s="4"/>
      <c r="G71" s="4"/>
      <c r="H71" s="5"/>
    </row>
    <row r="72">
      <c r="D72" s="3"/>
      <c r="F72" s="4"/>
      <c r="G72" s="4"/>
      <c r="H72" s="5"/>
    </row>
    <row r="73">
      <c r="D73" s="3"/>
      <c r="F73" s="4"/>
      <c r="G73" s="4"/>
      <c r="H73" s="5"/>
    </row>
    <row r="74">
      <c r="D74" s="3"/>
      <c r="F74" s="4"/>
      <c r="G74" s="4"/>
      <c r="H74" s="5"/>
    </row>
    <row r="75">
      <c r="D75" s="3"/>
      <c r="F75" s="4"/>
      <c r="G75" s="4"/>
      <c r="H75" s="5"/>
    </row>
    <row r="76">
      <c r="D76" s="3"/>
      <c r="F76" s="4"/>
      <c r="G76" s="4"/>
      <c r="H76" s="5"/>
    </row>
    <row r="77">
      <c r="D77" s="3"/>
      <c r="F77" s="4"/>
      <c r="G77" s="4"/>
      <c r="H77" s="5"/>
    </row>
    <row r="78">
      <c r="D78" s="3"/>
      <c r="F78" s="4"/>
      <c r="G78" s="4"/>
      <c r="H78" s="5"/>
    </row>
    <row r="79">
      <c r="D79" s="3"/>
      <c r="F79" s="4"/>
      <c r="G79" s="4"/>
      <c r="H79" s="5"/>
    </row>
    <row r="80">
      <c r="D80" s="3"/>
      <c r="F80" s="4"/>
      <c r="G80" s="4"/>
      <c r="H80" s="5"/>
    </row>
    <row r="81">
      <c r="D81" s="3"/>
      <c r="F81" s="4"/>
      <c r="G81" s="4"/>
      <c r="H81" s="5"/>
    </row>
    <row r="82">
      <c r="D82" s="3"/>
      <c r="F82" s="4"/>
      <c r="G82" s="4"/>
      <c r="H82" s="5"/>
    </row>
    <row r="83">
      <c r="D83" s="3"/>
      <c r="F83" s="4"/>
      <c r="G83" s="4"/>
      <c r="H83" s="5"/>
    </row>
    <row r="84">
      <c r="D84" s="3"/>
      <c r="F84" s="4"/>
      <c r="G84" s="4"/>
      <c r="H84" s="5"/>
    </row>
    <row r="85">
      <c r="D85" s="3"/>
      <c r="F85" s="4"/>
      <c r="G85" s="4"/>
      <c r="H85" s="5"/>
    </row>
    <row r="86">
      <c r="D86" s="3"/>
      <c r="F86" s="4"/>
      <c r="G86" s="4"/>
      <c r="H86" s="5"/>
    </row>
    <row r="87">
      <c r="D87" s="3"/>
      <c r="F87" s="4"/>
      <c r="G87" s="4"/>
      <c r="H87" s="5"/>
    </row>
    <row r="88">
      <c r="D88" s="3"/>
      <c r="F88" s="4"/>
      <c r="G88" s="4"/>
      <c r="H88" s="5"/>
    </row>
    <row r="89">
      <c r="D89" s="3"/>
      <c r="F89" s="4"/>
      <c r="G89" s="4"/>
      <c r="H89" s="5"/>
    </row>
    <row r="90">
      <c r="D90" s="3"/>
      <c r="F90" s="4"/>
      <c r="G90" s="4"/>
      <c r="H90" s="5"/>
    </row>
    <row r="91">
      <c r="D91" s="3"/>
      <c r="F91" s="4"/>
      <c r="G91" s="4"/>
      <c r="H91" s="5"/>
    </row>
    <row r="92">
      <c r="D92" s="3"/>
      <c r="F92" s="4"/>
      <c r="G92" s="4"/>
      <c r="H92" s="5"/>
    </row>
    <row r="93">
      <c r="D93" s="3"/>
      <c r="F93" s="4"/>
      <c r="G93" s="4"/>
      <c r="H93" s="5"/>
    </row>
    <row r="94">
      <c r="D94" s="3"/>
      <c r="F94" s="4"/>
      <c r="G94" s="4"/>
      <c r="H94" s="5"/>
    </row>
    <row r="95">
      <c r="D95" s="3"/>
      <c r="F95" s="4"/>
      <c r="G95" s="4"/>
      <c r="H95" s="5"/>
    </row>
    <row r="96">
      <c r="D96" s="3"/>
      <c r="F96" s="4"/>
      <c r="G96" s="4"/>
      <c r="H96" s="5"/>
    </row>
    <row r="97">
      <c r="D97" s="3"/>
      <c r="F97" s="4"/>
      <c r="G97" s="4"/>
      <c r="H97" s="5"/>
    </row>
    <row r="98">
      <c r="D98" s="3"/>
      <c r="F98" s="4"/>
      <c r="G98" s="4"/>
      <c r="H98" s="5"/>
    </row>
    <row r="99">
      <c r="D99" s="3"/>
      <c r="F99" s="4"/>
      <c r="G99" s="4"/>
      <c r="H99" s="5"/>
    </row>
    <row r="100">
      <c r="D100" s="3"/>
      <c r="F100" s="4"/>
      <c r="G100" s="4"/>
      <c r="H100" s="5"/>
    </row>
    <row r="101">
      <c r="D101" s="3"/>
      <c r="F101" s="4"/>
      <c r="G101" s="4"/>
      <c r="H101" s="5"/>
    </row>
    <row r="102">
      <c r="D102" s="3"/>
      <c r="F102" s="4"/>
      <c r="G102" s="4"/>
      <c r="H102" s="5"/>
    </row>
    <row r="103">
      <c r="D103" s="3"/>
      <c r="F103" s="4"/>
      <c r="G103" s="4"/>
      <c r="H103" s="5"/>
    </row>
    <row r="104">
      <c r="D104" s="3"/>
      <c r="F104" s="4"/>
      <c r="G104" s="4"/>
      <c r="H104" s="5"/>
    </row>
    <row r="105">
      <c r="D105" s="3"/>
      <c r="F105" s="4"/>
      <c r="G105" s="4"/>
      <c r="H105" s="5"/>
    </row>
    <row r="106">
      <c r="D106" s="3"/>
      <c r="F106" s="4"/>
      <c r="G106" s="4"/>
      <c r="H106" s="5"/>
    </row>
    <row r="107">
      <c r="D107" s="3"/>
      <c r="F107" s="4"/>
      <c r="G107" s="4"/>
      <c r="H107" s="5"/>
    </row>
    <row r="108">
      <c r="D108" s="3"/>
      <c r="F108" s="4"/>
      <c r="G108" s="4"/>
      <c r="H108" s="5"/>
    </row>
    <row r="109">
      <c r="D109" s="3"/>
      <c r="F109" s="4"/>
      <c r="G109" s="4"/>
      <c r="H109" s="5"/>
    </row>
    <row r="110">
      <c r="D110" s="3"/>
      <c r="F110" s="4"/>
      <c r="G110" s="4"/>
      <c r="H110" s="5"/>
    </row>
    <row r="111">
      <c r="D111" s="3"/>
      <c r="F111" s="4"/>
      <c r="G111" s="4"/>
      <c r="H111" s="5"/>
    </row>
    <row r="112">
      <c r="D112" s="3"/>
      <c r="F112" s="4"/>
      <c r="G112" s="4"/>
      <c r="H112" s="5"/>
    </row>
    <row r="113">
      <c r="D113" s="3"/>
      <c r="F113" s="4"/>
      <c r="G113" s="4"/>
      <c r="H113" s="5"/>
    </row>
    <row r="114">
      <c r="D114" s="3"/>
      <c r="F114" s="4"/>
      <c r="G114" s="4"/>
      <c r="H114" s="5"/>
    </row>
    <row r="115">
      <c r="D115" s="3"/>
      <c r="F115" s="4"/>
      <c r="G115" s="4"/>
      <c r="H115" s="5"/>
    </row>
    <row r="116">
      <c r="D116" s="3"/>
      <c r="F116" s="4"/>
      <c r="G116" s="4"/>
      <c r="H116" s="5"/>
    </row>
    <row r="117">
      <c r="D117" s="3"/>
      <c r="F117" s="4"/>
      <c r="G117" s="4"/>
      <c r="H117" s="5"/>
    </row>
    <row r="118">
      <c r="D118" s="3"/>
      <c r="F118" s="4"/>
      <c r="G118" s="4"/>
      <c r="H118" s="5"/>
    </row>
    <row r="119">
      <c r="D119" s="3"/>
      <c r="F119" s="4"/>
      <c r="G119" s="4"/>
      <c r="H119" s="5"/>
    </row>
    <row r="120">
      <c r="D120" s="3"/>
      <c r="F120" s="4"/>
      <c r="G120" s="4"/>
      <c r="H120" s="5"/>
    </row>
    <row r="121">
      <c r="D121" s="3"/>
      <c r="F121" s="4"/>
      <c r="G121" s="4"/>
      <c r="H121" s="5"/>
    </row>
    <row r="122">
      <c r="D122" s="3"/>
      <c r="F122" s="4"/>
      <c r="G122" s="4"/>
      <c r="H122" s="5"/>
    </row>
    <row r="123">
      <c r="D123" s="3"/>
      <c r="F123" s="4"/>
      <c r="G123" s="4"/>
      <c r="H123" s="5"/>
    </row>
    <row r="124">
      <c r="D124" s="3"/>
      <c r="F124" s="4"/>
      <c r="G124" s="4"/>
      <c r="H124" s="5"/>
    </row>
    <row r="125">
      <c r="D125" s="3"/>
      <c r="F125" s="4"/>
      <c r="G125" s="4"/>
      <c r="H125" s="5"/>
    </row>
    <row r="126">
      <c r="D126" s="3"/>
      <c r="F126" s="4"/>
      <c r="G126" s="4"/>
      <c r="H126" s="5"/>
    </row>
    <row r="127">
      <c r="D127" s="3"/>
      <c r="F127" s="4"/>
      <c r="G127" s="4"/>
      <c r="H127" s="5"/>
    </row>
    <row r="128">
      <c r="D128" s="3"/>
      <c r="F128" s="4"/>
      <c r="G128" s="4"/>
      <c r="H128" s="5"/>
    </row>
    <row r="129">
      <c r="D129" s="3"/>
      <c r="F129" s="4"/>
      <c r="G129" s="4"/>
      <c r="H129" s="5"/>
    </row>
    <row r="130">
      <c r="D130" s="3"/>
      <c r="F130" s="4"/>
      <c r="G130" s="4"/>
      <c r="H130" s="5"/>
    </row>
    <row r="131">
      <c r="D131" s="3"/>
      <c r="F131" s="4"/>
      <c r="G131" s="4"/>
      <c r="H131" s="5"/>
    </row>
    <row r="132">
      <c r="D132" s="3"/>
      <c r="F132" s="4"/>
      <c r="G132" s="4"/>
      <c r="H132" s="5"/>
    </row>
    <row r="133">
      <c r="D133" s="3"/>
      <c r="F133" s="4"/>
      <c r="G133" s="4"/>
      <c r="H133" s="5"/>
    </row>
    <row r="134">
      <c r="D134" s="3"/>
      <c r="F134" s="4"/>
      <c r="G134" s="4"/>
      <c r="H134" s="5"/>
    </row>
    <row r="135">
      <c r="D135" s="3"/>
      <c r="F135" s="4"/>
      <c r="G135" s="4"/>
      <c r="H135" s="5"/>
    </row>
    <row r="136">
      <c r="D136" s="3"/>
      <c r="F136" s="4"/>
      <c r="G136" s="4"/>
      <c r="H136" s="5"/>
    </row>
    <row r="137">
      <c r="D137" s="3"/>
      <c r="F137" s="4"/>
      <c r="G137" s="4"/>
      <c r="H137" s="5"/>
    </row>
    <row r="138">
      <c r="D138" s="3"/>
      <c r="F138" s="4"/>
      <c r="G138" s="4"/>
      <c r="H138" s="5"/>
    </row>
    <row r="139">
      <c r="D139" s="3"/>
      <c r="F139" s="4"/>
      <c r="G139" s="4"/>
      <c r="H139" s="5"/>
    </row>
    <row r="140">
      <c r="D140" s="3"/>
      <c r="F140" s="4"/>
      <c r="G140" s="4"/>
      <c r="H140" s="5"/>
    </row>
    <row r="141">
      <c r="D141" s="3"/>
      <c r="F141" s="4"/>
      <c r="G141" s="4"/>
      <c r="H141" s="5"/>
    </row>
    <row r="142">
      <c r="D142" s="3"/>
      <c r="F142" s="4"/>
      <c r="G142" s="4"/>
      <c r="H142" s="5"/>
    </row>
    <row r="143">
      <c r="D143" s="3"/>
      <c r="F143" s="4"/>
      <c r="G143" s="4"/>
      <c r="H143" s="5"/>
    </row>
    <row r="144">
      <c r="D144" s="3"/>
      <c r="F144" s="4"/>
      <c r="G144" s="4"/>
      <c r="H144" s="5"/>
    </row>
    <row r="145">
      <c r="D145" s="3"/>
      <c r="F145" s="4"/>
      <c r="G145" s="4"/>
      <c r="H145" s="5"/>
    </row>
    <row r="146">
      <c r="D146" s="3"/>
      <c r="F146" s="4"/>
      <c r="G146" s="4"/>
      <c r="H146" s="5"/>
    </row>
    <row r="147">
      <c r="D147" s="3"/>
      <c r="F147" s="4"/>
      <c r="G147" s="4"/>
      <c r="H147" s="5"/>
    </row>
    <row r="148">
      <c r="D148" s="3"/>
      <c r="F148" s="4"/>
      <c r="G148" s="4"/>
      <c r="H148" s="5"/>
    </row>
    <row r="149">
      <c r="D149" s="3"/>
      <c r="F149" s="4"/>
      <c r="G149" s="4"/>
      <c r="H149" s="5"/>
    </row>
    <row r="150">
      <c r="D150" s="3"/>
      <c r="F150" s="4"/>
      <c r="G150" s="4"/>
      <c r="H150" s="5"/>
    </row>
    <row r="151">
      <c r="D151" s="3"/>
      <c r="F151" s="4"/>
      <c r="G151" s="4"/>
      <c r="H151" s="5"/>
    </row>
    <row r="152">
      <c r="D152" s="3"/>
      <c r="F152" s="4"/>
      <c r="G152" s="4"/>
      <c r="H152" s="5"/>
    </row>
    <row r="153">
      <c r="D153" s="3"/>
      <c r="F153" s="4"/>
      <c r="G153" s="4"/>
      <c r="H153" s="5"/>
    </row>
    <row r="154">
      <c r="D154" s="3"/>
      <c r="F154" s="4"/>
      <c r="G154" s="4"/>
      <c r="H154" s="5"/>
    </row>
    <row r="155">
      <c r="D155" s="3"/>
      <c r="F155" s="4"/>
      <c r="G155" s="4"/>
      <c r="H155" s="5"/>
    </row>
    <row r="156">
      <c r="D156" s="3"/>
      <c r="F156" s="4"/>
      <c r="G156" s="4"/>
      <c r="H156" s="5"/>
    </row>
    <row r="157">
      <c r="D157" s="3"/>
      <c r="F157" s="4"/>
      <c r="G157" s="4"/>
      <c r="H157" s="5"/>
    </row>
    <row r="158">
      <c r="D158" s="3"/>
      <c r="F158" s="4"/>
      <c r="G158" s="4"/>
      <c r="H158" s="5"/>
    </row>
    <row r="159">
      <c r="D159" s="3"/>
      <c r="F159" s="4"/>
      <c r="G159" s="4"/>
      <c r="H159" s="5"/>
    </row>
    <row r="160">
      <c r="D160" s="3"/>
      <c r="F160" s="4"/>
      <c r="G160" s="4"/>
      <c r="H160" s="5"/>
    </row>
    <row r="161">
      <c r="D161" s="3"/>
      <c r="F161" s="4"/>
      <c r="G161" s="4"/>
      <c r="H161" s="5"/>
    </row>
    <row r="162">
      <c r="D162" s="3"/>
      <c r="F162" s="4"/>
      <c r="G162" s="4"/>
      <c r="H162" s="5"/>
    </row>
    <row r="163">
      <c r="D163" s="3"/>
      <c r="F163" s="4"/>
      <c r="G163" s="4"/>
      <c r="H163" s="5"/>
    </row>
    <row r="164">
      <c r="D164" s="3"/>
      <c r="F164" s="4"/>
      <c r="G164" s="4"/>
      <c r="H164" s="5"/>
    </row>
    <row r="165">
      <c r="D165" s="3"/>
      <c r="F165" s="4"/>
      <c r="G165" s="4"/>
      <c r="H165" s="5"/>
    </row>
    <row r="166">
      <c r="D166" s="3"/>
      <c r="F166" s="4"/>
      <c r="G166" s="4"/>
      <c r="H166" s="5"/>
    </row>
    <row r="167">
      <c r="D167" s="3"/>
      <c r="F167" s="4"/>
      <c r="G167" s="4"/>
      <c r="H167" s="5"/>
    </row>
    <row r="168">
      <c r="D168" s="3"/>
      <c r="F168" s="4"/>
      <c r="G168" s="4"/>
      <c r="H168" s="5"/>
    </row>
    <row r="169">
      <c r="D169" s="3"/>
      <c r="F169" s="4"/>
      <c r="G169" s="4"/>
      <c r="H169" s="5"/>
    </row>
    <row r="170">
      <c r="D170" s="3"/>
      <c r="F170" s="4"/>
      <c r="G170" s="4"/>
      <c r="H170" s="5"/>
    </row>
    <row r="171">
      <c r="D171" s="3"/>
      <c r="F171" s="4"/>
      <c r="G171" s="4"/>
      <c r="H171" s="5"/>
    </row>
    <row r="172">
      <c r="D172" s="3"/>
      <c r="F172" s="4"/>
      <c r="G172" s="4"/>
      <c r="H172" s="5"/>
    </row>
    <row r="173">
      <c r="D173" s="3"/>
      <c r="F173" s="4"/>
      <c r="G173" s="4"/>
      <c r="H173" s="5"/>
    </row>
    <row r="174">
      <c r="D174" s="3"/>
      <c r="F174" s="4"/>
      <c r="G174" s="4"/>
      <c r="H174" s="5"/>
    </row>
    <row r="175">
      <c r="D175" s="3"/>
      <c r="F175" s="4"/>
      <c r="G175" s="4"/>
      <c r="H175" s="5"/>
    </row>
    <row r="176">
      <c r="D176" s="3"/>
      <c r="F176" s="4"/>
      <c r="G176" s="4"/>
      <c r="H176" s="5"/>
    </row>
    <row r="177">
      <c r="D177" s="3"/>
      <c r="F177" s="4"/>
      <c r="G177" s="4"/>
      <c r="H177" s="5"/>
    </row>
    <row r="178">
      <c r="D178" s="3"/>
      <c r="F178" s="4"/>
      <c r="G178" s="4"/>
      <c r="H178" s="5"/>
    </row>
    <row r="179">
      <c r="D179" s="3"/>
      <c r="F179" s="4"/>
      <c r="G179" s="4"/>
      <c r="H179" s="5"/>
    </row>
    <row r="180">
      <c r="D180" s="3"/>
      <c r="F180" s="4"/>
      <c r="G180" s="4"/>
      <c r="H180" s="5"/>
    </row>
    <row r="181">
      <c r="D181" s="3"/>
      <c r="F181" s="4"/>
      <c r="G181" s="4"/>
      <c r="H181" s="5"/>
    </row>
    <row r="182">
      <c r="D182" s="3"/>
      <c r="F182" s="4"/>
      <c r="G182" s="4"/>
      <c r="H182" s="5"/>
    </row>
    <row r="183">
      <c r="D183" s="3"/>
      <c r="F183" s="4"/>
      <c r="G183" s="4"/>
      <c r="H183" s="5"/>
    </row>
    <row r="184">
      <c r="D184" s="3"/>
      <c r="F184" s="4"/>
      <c r="G184" s="4"/>
      <c r="H184" s="5"/>
    </row>
    <row r="185">
      <c r="D185" s="3"/>
      <c r="F185" s="4"/>
      <c r="G185" s="4"/>
      <c r="H185" s="5"/>
    </row>
    <row r="186">
      <c r="D186" s="3"/>
      <c r="F186" s="4"/>
      <c r="G186" s="4"/>
      <c r="H186" s="5"/>
    </row>
    <row r="187">
      <c r="D187" s="3"/>
      <c r="F187" s="4"/>
      <c r="G187" s="4"/>
      <c r="H187" s="5"/>
    </row>
    <row r="188">
      <c r="D188" s="3"/>
      <c r="F188" s="4"/>
      <c r="G188" s="4"/>
      <c r="H188" s="5"/>
    </row>
    <row r="189">
      <c r="D189" s="3"/>
      <c r="F189" s="4"/>
      <c r="G189" s="4"/>
      <c r="H189" s="5"/>
    </row>
    <row r="190">
      <c r="D190" s="3"/>
      <c r="F190" s="4"/>
      <c r="G190" s="4"/>
      <c r="H190" s="5"/>
    </row>
    <row r="191">
      <c r="D191" s="3"/>
      <c r="F191" s="4"/>
      <c r="G191" s="4"/>
      <c r="H191" s="5"/>
    </row>
    <row r="192">
      <c r="D192" s="3"/>
      <c r="F192" s="4"/>
      <c r="G192" s="4"/>
      <c r="H192" s="5"/>
    </row>
    <row r="193">
      <c r="D193" s="3"/>
      <c r="F193" s="4"/>
      <c r="G193" s="4"/>
      <c r="H193" s="5"/>
    </row>
    <row r="194">
      <c r="D194" s="3"/>
      <c r="F194" s="4"/>
      <c r="G194" s="4"/>
      <c r="H194" s="5"/>
    </row>
    <row r="195">
      <c r="D195" s="3"/>
      <c r="F195" s="4"/>
      <c r="G195" s="4"/>
      <c r="H195" s="5"/>
    </row>
    <row r="196">
      <c r="D196" s="3"/>
      <c r="F196" s="4"/>
      <c r="G196" s="4"/>
      <c r="H196" s="5"/>
    </row>
    <row r="197">
      <c r="D197" s="3"/>
      <c r="F197" s="4"/>
      <c r="G197" s="4"/>
      <c r="H197" s="5"/>
    </row>
    <row r="198">
      <c r="D198" s="3"/>
      <c r="F198" s="4"/>
      <c r="G198" s="4"/>
      <c r="H198" s="5"/>
    </row>
    <row r="199">
      <c r="D199" s="3"/>
      <c r="F199" s="4"/>
      <c r="G199" s="4"/>
      <c r="H199" s="5"/>
    </row>
    <row r="200">
      <c r="D200" s="3"/>
      <c r="F200" s="4"/>
      <c r="G200" s="4"/>
      <c r="H200" s="5"/>
    </row>
    <row r="201">
      <c r="D201" s="3"/>
      <c r="F201" s="4"/>
      <c r="G201" s="4"/>
      <c r="H201" s="5"/>
    </row>
    <row r="202">
      <c r="D202" s="3"/>
      <c r="F202" s="4"/>
      <c r="G202" s="4"/>
      <c r="H202" s="5"/>
    </row>
    <row r="203">
      <c r="D203" s="3"/>
      <c r="F203" s="4"/>
      <c r="G203" s="4"/>
      <c r="H203" s="5"/>
    </row>
    <row r="204">
      <c r="D204" s="3"/>
      <c r="F204" s="4"/>
      <c r="G204" s="4"/>
      <c r="H204" s="5"/>
    </row>
    <row r="205">
      <c r="D205" s="3"/>
      <c r="F205" s="4"/>
      <c r="G205" s="4"/>
      <c r="H205" s="5"/>
    </row>
    <row r="206">
      <c r="D206" s="3"/>
      <c r="F206" s="4"/>
      <c r="G206" s="4"/>
      <c r="H206" s="5"/>
    </row>
    <row r="207">
      <c r="D207" s="3"/>
      <c r="F207" s="4"/>
      <c r="G207" s="4"/>
      <c r="H207" s="5"/>
    </row>
    <row r="208">
      <c r="D208" s="3"/>
      <c r="F208" s="4"/>
      <c r="G208" s="4"/>
      <c r="H208" s="5"/>
    </row>
    <row r="209">
      <c r="D209" s="3"/>
      <c r="F209" s="4"/>
      <c r="G209" s="4"/>
      <c r="H209" s="5"/>
    </row>
    <row r="210">
      <c r="D210" s="3"/>
      <c r="F210" s="4"/>
      <c r="G210" s="4"/>
      <c r="H210" s="5"/>
    </row>
    <row r="211">
      <c r="D211" s="3"/>
      <c r="F211" s="4"/>
      <c r="G211" s="4"/>
      <c r="H211" s="5"/>
    </row>
    <row r="212">
      <c r="D212" s="3"/>
      <c r="F212" s="4"/>
      <c r="G212" s="4"/>
      <c r="H212" s="5"/>
    </row>
    <row r="213">
      <c r="D213" s="3"/>
      <c r="F213" s="4"/>
      <c r="G213" s="4"/>
      <c r="H213" s="5"/>
    </row>
    <row r="214">
      <c r="D214" s="3"/>
      <c r="F214" s="4"/>
      <c r="G214" s="4"/>
      <c r="H214" s="5"/>
    </row>
    <row r="215">
      <c r="D215" s="3"/>
      <c r="F215" s="4"/>
      <c r="G215" s="4"/>
      <c r="H215" s="5"/>
    </row>
    <row r="216">
      <c r="D216" s="3"/>
      <c r="F216" s="4"/>
      <c r="G216" s="4"/>
      <c r="H216" s="5"/>
    </row>
    <row r="217">
      <c r="D217" s="3"/>
      <c r="F217" s="4"/>
      <c r="G217" s="4"/>
      <c r="H217" s="5"/>
    </row>
    <row r="218">
      <c r="D218" s="3"/>
      <c r="F218" s="4"/>
      <c r="G218" s="4"/>
      <c r="H218" s="5"/>
    </row>
    <row r="219">
      <c r="D219" s="3"/>
      <c r="F219" s="4"/>
      <c r="G219" s="4"/>
      <c r="H219" s="5"/>
    </row>
    <row r="220">
      <c r="D220" s="3"/>
      <c r="F220" s="4"/>
      <c r="G220" s="4"/>
      <c r="H220" s="5"/>
    </row>
    <row r="221">
      <c r="D221" s="3"/>
      <c r="F221" s="4"/>
      <c r="G221" s="4"/>
      <c r="H221" s="5"/>
    </row>
    <row r="222">
      <c r="D222" s="3"/>
      <c r="F222" s="4"/>
      <c r="G222" s="4"/>
      <c r="H222" s="5"/>
    </row>
    <row r="223">
      <c r="D223" s="3"/>
      <c r="F223" s="4"/>
      <c r="G223" s="4"/>
      <c r="H223" s="5"/>
    </row>
    <row r="224">
      <c r="D224" s="3"/>
      <c r="F224" s="4"/>
      <c r="G224" s="4"/>
      <c r="H224" s="5"/>
    </row>
    <row r="225">
      <c r="D225" s="3"/>
      <c r="F225" s="4"/>
      <c r="G225" s="4"/>
      <c r="H225" s="5"/>
    </row>
    <row r="226">
      <c r="D226" s="3"/>
      <c r="F226" s="4"/>
      <c r="G226" s="4"/>
      <c r="H226" s="5"/>
    </row>
    <row r="227">
      <c r="D227" s="3"/>
      <c r="F227" s="4"/>
      <c r="G227" s="4"/>
      <c r="H227" s="5"/>
    </row>
    <row r="228">
      <c r="D228" s="3"/>
      <c r="F228" s="4"/>
      <c r="G228" s="4"/>
      <c r="H228" s="5"/>
    </row>
    <row r="229">
      <c r="D229" s="3"/>
      <c r="F229" s="4"/>
      <c r="G229" s="4"/>
      <c r="H229" s="5"/>
    </row>
    <row r="230">
      <c r="D230" s="3"/>
      <c r="F230" s="4"/>
      <c r="G230" s="4"/>
      <c r="H230" s="5"/>
    </row>
    <row r="231">
      <c r="D231" s="3"/>
      <c r="F231" s="4"/>
      <c r="G231" s="4"/>
      <c r="H231" s="5"/>
    </row>
    <row r="232">
      <c r="D232" s="3"/>
      <c r="F232" s="4"/>
      <c r="G232" s="4"/>
      <c r="H232" s="5"/>
    </row>
    <row r="233">
      <c r="D233" s="3"/>
      <c r="F233" s="4"/>
      <c r="G233" s="4"/>
      <c r="H233" s="5"/>
    </row>
    <row r="234">
      <c r="D234" s="3"/>
      <c r="F234" s="4"/>
      <c r="G234" s="4"/>
      <c r="H234" s="5"/>
    </row>
    <row r="235">
      <c r="D235" s="3"/>
      <c r="F235" s="4"/>
      <c r="G235" s="4"/>
      <c r="H235" s="5"/>
    </row>
    <row r="236">
      <c r="D236" s="3"/>
      <c r="F236" s="4"/>
      <c r="G236" s="4"/>
      <c r="H236" s="5"/>
    </row>
    <row r="237">
      <c r="D237" s="3"/>
      <c r="F237" s="4"/>
      <c r="G237" s="4"/>
      <c r="H237" s="5"/>
    </row>
    <row r="238">
      <c r="D238" s="3"/>
      <c r="F238" s="4"/>
      <c r="G238" s="4"/>
      <c r="H238" s="5"/>
    </row>
    <row r="239">
      <c r="D239" s="3"/>
      <c r="F239" s="4"/>
      <c r="G239" s="4"/>
      <c r="H239" s="5"/>
    </row>
    <row r="240">
      <c r="D240" s="3"/>
      <c r="F240" s="4"/>
      <c r="G240" s="4"/>
      <c r="H240" s="5"/>
    </row>
    <row r="241">
      <c r="D241" s="3"/>
      <c r="F241" s="4"/>
      <c r="G241" s="4"/>
      <c r="H241" s="5"/>
    </row>
    <row r="242">
      <c r="D242" s="3"/>
      <c r="F242" s="4"/>
      <c r="G242" s="4"/>
      <c r="H242" s="5"/>
    </row>
    <row r="243">
      <c r="D243" s="3"/>
      <c r="F243" s="4"/>
      <c r="G243" s="4"/>
      <c r="H243" s="5"/>
    </row>
    <row r="244">
      <c r="D244" s="3"/>
      <c r="F244" s="4"/>
      <c r="G244" s="4"/>
      <c r="H244" s="5"/>
    </row>
    <row r="245">
      <c r="D245" s="3"/>
      <c r="F245" s="4"/>
      <c r="G245" s="4"/>
      <c r="H245" s="5"/>
    </row>
    <row r="246">
      <c r="D246" s="3"/>
      <c r="F246" s="4"/>
      <c r="G246" s="4"/>
      <c r="H246" s="5"/>
    </row>
    <row r="247">
      <c r="D247" s="3"/>
      <c r="F247" s="4"/>
      <c r="G247" s="4"/>
      <c r="H247" s="5"/>
    </row>
    <row r="248">
      <c r="D248" s="3"/>
      <c r="F248" s="4"/>
      <c r="G248" s="4"/>
      <c r="H248" s="5"/>
    </row>
    <row r="249">
      <c r="D249" s="3"/>
      <c r="F249" s="4"/>
      <c r="G249" s="4"/>
      <c r="H249" s="5"/>
    </row>
    <row r="250">
      <c r="D250" s="3"/>
      <c r="F250" s="4"/>
      <c r="G250" s="4"/>
      <c r="H250" s="5"/>
    </row>
    <row r="251">
      <c r="D251" s="3"/>
      <c r="F251" s="4"/>
      <c r="G251" s="4"/>
      <c r="H251" s="5"/>
    </row>
    <row r="252">
      <c r="D252" s="3"/>
      <c r="F252" s="4"/>
      <c r="G252" s="4"/>
      <c r="H252" s="5"/>
    </row>
    <row r="253">
      <c r="D253" s="3"/>
      <c r="F253" s="4"/>
      <c r="G253" s="4"/>
      <c r="H253" s="5"/>
    </row>
    <row r="254">
      <c r="D254" s="3"/>
      <c r="F254" s="4"/>
      <c r="G254" s="4"/>
      <c r="H254" s="5"/>
    </row>
    <row r="255">
      <c r="D255" s="3"/>
      <c r="F255" s="4"/>
      <c r="G255" s="4"/>
      <c r="H255" s="5"/>
    </row>
    <row r="256">
      <c r="D256" s="3"/>
      <c r="F256" s="4"/>
      <c r="G256" s="4"/>
      <c r="H256" s="5"/>
    </row>
    <row r="257">
      <c r="D257" s="3"/>
      <c r="F257" s="4"/>
      <c r="G257" s="4"/>
      <c r="H257" s="5"/>
    </row>
    <row r="258">
      <c r="D258" s="3"/>
      <c r="F258" s="4"/>
      <c r="G258" s="4"/>
      <c r="H258" s="5"/>
    </row>
    <row r="259">
      <c r="D259" s="3"/>
      <c r="F259" s="4"/>
      <c r="G259" s="4"/>
      <c r="H259" s="5"/>
    </row>
    <row r="260">
      <c r="D260" s="3"/>
      <c r="F260" s="4"/>
      <c r="G260" s="4"/>
      <c r="H260" s="5"/>
    </row>
    <row r="261">
      <c r="D261" s="3"/>
      <c r="F261" s="4"/>
      <c r="G261" s="4"/>
      <c r="H261" s="5"/>
    </row>
    <row r="262">
      <c r="D262" s="3"/>
      <c r="F262" s="4"/>
      <c r="G262" s="4"/>
      <c r="H262" s="5"/>
    </row>
    <row r="263">
      <c r="D263" s="3"/>
      <c r="F263" s="4"/>
      <c r="G263" s="4"/>
      <c r="H263" s="5"/>
    </row>
    <row r="264">
      <c r="D264" s="3"/>
      <c r="F264" s="4"/>
      <c r="G264" s="4"/>
      <c r="H264" s="5"/>
    </row>
    <row r="265">
      <c r="D265" s="3"/>
      <c r="F265" s="4"/>
      <c r="G265" s="4"/>
      <c r="H265" s="5"/>
    </row>
    <row r="266">
      <c r="D266" s="3"/>
      <c r="F266" s="4"/>
      <c r="G266" s="4"/>
      <c r="H266" s="5"/>
    </row>
    <row r="267">
      <c r="D267" s="3"/>
      <c r="F267" s="4"/>
      <c r="G267" s="4"/>
      <c r="H267" s="5"/>
    </row>
    <row r="268">
      <c r="D268" s="3"/>
      <c r="F268" s="4"/>
      <c r="G268" s="4"/>
      <c r="H268" s="5"/>
    </row>
    <row r="269">
      <c r="D269" s="3"/>
      <c r="F269" s="4"/>
      <c r="G269" s="4"/>
      <c r="H269" s="5"/>
    </row>
    <row r="270">
      <c r="D270" s="3"/>
      <c r="F270" s="4"/>
      <c r="G270" s="4"/>
      <c r="H270" s="5"/>
    </row>
    <row r="271">
      <c r="D271" s="3"/>
      <c r="F271" s="4"/>
      <c r="G271" s="4"/>
      <c r="H271" s="5"/>
    </row>
    <row r="272">
      <c r="D272" s="3"/>
      <c r="F272" s="4"/>
      <c r="G272" s="4"/>
      <c r="H272" s="5"/>
    </row>
    <row r="273">
      <c r="D273" s="3"/>
      <c r="F273" s="4"/>
      <c r="G273" s="4"/>
      <c r="H273" s="5"/>
    </row>
    <row r="274">
      <c r="D274" s="3"/>
      <c r="F274" s="4"/>
      <c r="G274" s="4"/>
      <c r="H274" s="5"/>
    </row>
    <row r="275">
      <c r="D275" s="3"/>
      <c r="F275" s="4"/>
      <c r="G275" s="4"/>
      <c r="H275" s="5"/>
    </row>
    <row r="276">
      <c r="D276" s="3"/>
      <c r="F276" s="4"/>
      <c r="G276" s="4"/>
      <c r="H276" s="5"/>
    </row>
    <row r="277">
      <c r="D277" s="3"/>
      <c r="F277" s="4"/>
      <c r="G277" s="4"/>
      <c r="H277" s="5"/>
    </row>
    <row r="278">
      <c r="D278" s="3"/>
      <c r="F278" s="4"/>
      <c r="G278" s="4"/>
      <c r="H278" s="5"/>
    </row>
    <row r="279">
      <c r="D279" s="3"/>
      <c r="F279" s="4"/>
      <c r="G279" s="4"/>
      <c r="H279" s="5"/>
    </row>
    <row r="280">
      <c r="D280" s="3"/>
      <c r="F280" s="4"/>
      <c r="G280" s="4"/>
      <c r="H280" s="5"/>
    </row>
    <row r="281">
      <c r="D281" s="3"/>
      <c r="F281" s="4"/>
      <c r="G281" s="4"/>
      <c r="H281" s="5"/>
    </row>
    <row r="282">
      <c r="D282" s="3"/>
      <c r="F282" s="4"/>
      <c r="G282" s="4"/>
      <c r="H282" s="5"/>
    </row>
    <row r="283">
      <c r="D283" s="3"/>
      <c r="F283" s="4"/>
      <c r="G283" s="4"/>
      <c r="H283" s="5"/>
    </row>
    <row r="284">
      <c r="D284" s="3"/>
      <c r="F284" s="4"/>
      <c r="G284" s="4"/>
      <c r="H284" s="5"/>
    </row>
    <row r="285">
      <c r="D285" s="3"/>
      <c r="F285" s="4"/>
      <c r="G285" s="4"/>
      <c r="H285" s="5"/>
    </row>
    <row r="286">
      <c r="D286" s="3"/>
      <c r="F286" s="4"/>
      <c r="G286" s="4"/>
      <c r="H286" s="5"/>
    </row>
    <row r="287">
      <c r="D287" s="3"/>
      <c r="F287" s="4"/>
      <c r="G287" s="4"/>
      <c r="H287" s="5"/>
    </row>
    <row r="288">
      <c r="D288" s="3"/>
      <c r="F288" s="4"/>
      <c r="G288" s="4"/>
      <c r="H288" s="5"/>
    </row>
    <row r="289">
      <c r="D289" s="3"/>
      <c r="F289" s="4"/>
      <c r="G289" s="4"/>
      <c r="H289" s="5"/>
    </row>
    <row r="290">
      <c r="D290" s="3"/>
      <c r="F290" s="4"/>
      <c r="G290" s="4"/>
      <c r="H290" s="5"/>
    </row>
    <row r="291">
      <c r="D291" s="3"/>
      <c r="F291" s="4"/>
      <c r="G291" s="4"/>
      <c r="H291" s="5"/>
    </row>
    <row r="292">
      <c r="D292" s="3"/>
      <c r="F292" s="4"/>
      <c r="G292" s="4"/>
      <c r="H292" s="5"/>
    </row>
    <row r="293">
      <c r="D293" s="3"/>
      <c r="F293" s="4"/>
      <c r="G293" s="4"/>
      <c r="H293" s="5"/>
    </row>
    <row r="294">
      <c r="D294" s="3"/>
      <c r="F294" s="4"/>
      <c r="G294" s="4"/>
      <c r="H294" s="5"/>
    </row>
    <row r="295">
      <c r="D295" s="3"/>
      <c r="F295" s="4"/>
      <c r="G295" s="4"/>
      <c r="H295" s="5"/>
    </row>
    <row r="296">
      <c r="D296" s="3"/>
      <c r="F296" s="4"/>
      <c r="G296" s="4"/>
      <c r="H296" s="5"/>
    </row>
    <row r="297">
      <c r="D297" s="3"/>
      <c r="F297" s="4"/>
      <c r="G297" s="4"/>
      <c r="H297" s="5"/>
    </row>
    <row r="298">
      <c r="D298" s="3"/>
      <c r="F298" s="4"/>
      <c r="G298" s="4"/>
      <c r="H298" s="5"/>
    </row>
    <row r="299">
      <c r="D299" s="3"/>
      <c r="F299" s="4"/>
      <c r="G299" s="4"/>
      <c r="H299" s="5"/>
    </row>
    <row r="300">
      <c r="D300" s="3"/>
      <c r="F300" s="4"/>
      <c r="G300" s="4"/>
      <c r="H300" s="5"/>
    </row>
    <row r="301">
      <c r="D301" s="3"/>
      <c r="F301" s="4"/>
      <c r="G301" s="4"/>
      <c r="H301" s="5"/>
    </row>
    <row r="302">
      <c r="D302" s="3"/>
      <c r="F302" s="4"/>
      <c r="G302" s="4"/>
      <c r="H302" s="5"/>
    </row>
    <row r="303">
      <c r="D303" s="3"/>
      <c r="F303" s="4"/>
      <c r="G303" s="4"/>
      <c r="H303" s="5"/>
    </row>
    <row r="304">
      <c r="D304" s="3"/>
      <c r="F304" s="4"/>
      <c r="G304" s="4"/>
      <c r="H304" s="5"/>
    </row>
    <row r="305">
      <c r="D305" s="3"/>
      <c r="F305" s="4"/>
      <c r="G305" s="4"/>
      <c r="H305" s="5"/>
    </row>
    <row r="306">
      <c r="D306" s="3"/>
      <c r="F306" s="4"/>
      <c r="G306" s="4"/>
      <c r="H306" s="5"/>
    </row>
    <row r="307">
      <c r="D307" s="3"/>
      <c r="F307" s="4"/>
      <c r="G307" s="4"/>
      <c r="H307" s="5"/>
    </row>
    <row r="308">
      <c r="D308" s="3"/>
      <c r="F308" s="4"/>
      <c r="G308" s="4"/>
      <c r="H308" s="5"/>
    </row>
    <row r="309">
      <c r="D309" s="3"/>
      <c r="F309" s="4"/>
      <c r="G309" s="4"/>
      <c r="H309" s="5"/>
    </row>
    <row r="310">
      <c r="D310" s="3"/>
      <c r="F310" s="4"/>
      <c r="G310" s="4"/>
      <c r="H310" s="5"/>
    </row>
    <row r="311">
      <c r="D311" s="3"/>
      <c r="F311" s="4"/>
      <c r="G311" s="4"/>
      <c r="H311" s="5"/>
    </row>
    <row r="312">
      <c r="D312" s="3"/>
      <c r="F312" s="4"/>
      <c r="G312" s="4"/>
      <c r="H312" s="5"/>
    </row>
    <row r="313">
      <c r="D313" s="3"/>
      <c r="F313" s="4"/>
      <c r="G313" s="4"/>
      <c r="H313" s="5"/>
    </row>
    <row r="314">
      <c r="D314" s="3"/>
      <c r="F314" s="4"/>
      <c r="G314" s="4"/>
      <c r="H314" s="5"/>
    </row>
    <row r="315">
      <c r="D315" s="3"/>
      <c r="F315" s="4"/>
      <c r="G315" s="4"/>
      <c r="H315" s="5"/>
    </row>
    <row r="316">
      <c r="D316" s="3"/>
      <c r="F316" s="4"/>
      <c r="G316" s="4"/>
      <c r="H316" s="5"/>
    </row>
    <row r="317">
      <c r="D317" s="3"/>
      <c r="F317" s="4"/>
      <c r="G317" s="4"/>
      <c r="H317" s="5"/>
    </row>
    <row r="318">
      <c r="D318" s="3"/>
      <c r="F318" s="4"/>
      <c r="G318" s="4"/>
      <c r="H318" s="5"/>
    </row>
    <row r="319">
      <c r="D319" s="3"/>
      <c r="F319" s="4"/>
      <c r="G319" s="4"/>
      <c r="H319" s="5"/>
    </row>
    <row r="320">
      <c r="D320" s="3"/>
      <c r="F320" s="4"/>
      <c r="G320" s="4"/>
      <c r="H320" s="5"/>
    </row>
    <row r="321">
      <c r="D321" s="3"/>
      <c r="F321" s="4"/>
      <c r="G321" s="4"/>
      <c r="H321" s="5"/>
    </row>
    <row r="322">
      <c r="D322" s="3"/>
      <c r="F322" s="4"/>
      <c r="G322" s="4"/>
      <c r="H322" s="5"/>
    </row>
    <row r="323">
      <c r="D323" s="3"/>
      <c r="F323" s="4"/>
      <c r="G323" s="4"/>
      <c r="H323" s="5"/>
    </row>
    <row r="324">
      <c r="D324" s="3"/>
      <c r="F324" s="4"/>
      <c r="G324" s="4"/>
      <c r="H324" s="5"/>
    </row>
    <row r="325">
      <c r="D325" s="3"/>
      <c r="F325" s="4"/>
      <c r="G325" s="4"/>
      <c r="H325" s="5"/>
    </row>
    <row r="326">
      <c r="D326" s="3"/>
      <c r="F326" s="4"/>
      <c r="G326" s="4"/>
      <c r="H326" s="5"/>
    </row>
    <row r="327">
      <c r="D327" s="3"/>
      <c r="F327" s="4"/>
      <c r="G327" s="4"/>
      <c r="H327" s="5"/>
    </row>
    <row r="328">
      <c r="D328" s="3"/>
      <c r="F328" s="4"/>
      <c r="G328" s="4"/>
      <c r="H328" s="5"/>
    </row>
    <row r="329">
      <c r="D329" s="3"/>
      <c r="F329" s="4"/>
      <c r="G329" s="4"/>
      <c r="H329" s="5"/>
    </row>
    <row r="330">
      <c r="D330" s="3"/>
      <c r="F330" s="4"/>
      <c r="G330" s="4"/>
      <c r="H330" s="5"/>
    </row>
    <row r="331">
      <c r="D331" s="3"/>
      <c r="F331" s="4"/>
      <c r="G331" s="4"/>
      <c r="H331" s="5"/>
    </row>
    <row r="332">
      <c r="D332" s="3"/>
      <c r="F332" s="4"/>
      <c r="G332" s="4"/>
      <c r="H332" s="5"/>
    </row>
    <row r="333">
      <c r="D333" s="3"/>
      <c r="F333" s="4"/>
      <c r="G333" s="4"/>
      <c r="H333" s="5"/>
    </row>
    <row r="334">
      <c r="D334" s="3"/>
      <c r="F334" s="4"/>
      <c r="G334" s="4"/>
      <c r="H334" s="5"/>
    </row>
    <row r="335">
      <c r="D335" s="3"/>
      <c r="F335" s="4"/>
      <c r="G335" s="4"/>
      <c r="H335" s="5"/>
    </row>
    <row r="336">
      <c r="D336" s="3"/>
      <c r="F336" s="4"/>
      <c r="G336" s="4"/>
      <c r="H336" s="5"/>
    </row>
    <row r="337">
      <c r="D337" s="3"/>
      <c r="F337" s="4"/>
      <c r="G337" s="4"/>
      <c r="H337" s="5"/>
    </row>
    <row r="338">
      <c r="D338" s="3"/>
      <c r="F338" s="4"/>
      <c r="G338" s="4"/>
      <c r="H338" s="5"/>
    </row>
    <row r="339">
      <c r="D339" s="3"/>
      <c r="F339" s="4"/>
      <c r="G339" s="4"/>
      <c r="H339" s="5"/>
    </row>
    <row r="340">
      <c r="D340" s="3"/>
      <c r="F340" s="4"/>
      <c r="G340" s="4"/>
      <c r="H340" s="5"/>
    </row>
    <row r="341">
      <c r="D341" s="3"/>
      <c r="F341" s="4"/>
      <c r="G341" s="4"/>
      <c r="H341" s="5"/>
    </row>
    <row r="342">
      <c r="D342" s="3"/>
      <c r="F342" s="4"/>
      <c r="G342" s="4"/>
      <c r="H342" s="5"/>
    </row>
    <row r="343">
      <c r="D343" s="3"/>
      <c r="F343" s="4"/>
      <c r="G343" s="4"/>
      <c r="H343" s="5"/>
    </row>
    <row r="344">
      <c r="D344" s="3"/>
      <c r="F344" s="4"/>
      <c r="G344" s="4"/>
      <c r="H344" s="5"/>
    </row>
    <row r="345">
      <c r="D345" s="3"/>
      <c r="F345" s="4"/>
      <c r="G345" s="4"/>
      <c r="H345" s="5"/>
    </row>
    <row r="346">
      <c r="D346" s="3"/>
      <c r="F346" s="4"/>
      <c r="G346" s="4"/>
      <c r="H346" s="5"/>
    </row>
    <row r="347">
      <c r="D347" s="3"/>
      <c r="F347" s="4"/>
      <c r="G347" s="4"/>
      <c r="H347" s="5"/>
    </row>
    <row r="348">
      <c r="D348" s="3"/>
      <c r="F348" s="4"/>
      <c r="G348" s="4"/>
      <c r="H348" s="5"/>
    </row>
    <row r="349">
      <c r="D349" s="3"/>
      <c r="F349" s="4"/>
      <c r="G349" s="4"/>
      <c r="H349" s="5"/>
    </row>
    <row r="350">
      <c r="D350" s="3"/>
      <c r="F350" s="4"/>
      <c r="G350" s="4"/>
      <c r="H350" s="5"/>
    </row>
    <row r="351">
      <c r="D351" s="3"/>
      <c r="F351" s="4"/>
      <c r="G351" s="4"/>
      <c r="H351" s="5"/>
    </row>
    <row r="352">
      <c r="D352" s="3"/>
      <c r="F352" s="4"/>
      <c r="G352" s="4"/>
      <c r="H352" s="5"/>
    </row>
    <row r="353">
      <c r="D353" s="3"/>
      <c r="F353" s="4"/>
      <c r="G353" s="4"/>
      <c r="H353" s="5"/>
    </row>
    <row r="354">
      <c r="D354" s="3"/>
      <c r="F354" s="4"/>
      <c r="G354" s="4"/>
      <c r="H354" s="5"/>
    </row>
    <row r="355">
      <c r="D355" s="3"/>
      <c r="F355" s="4"/>
      <c r="G355" s="4"/>
      <c r="H355" s="5"/>
    </row>
    <row r="356">
      <c r="D356" s="3"/>
      <c r="F356" s="4"/>
      <c r="G356" s="4"/>
      <c r="H356" s="5"/>
    </row>
    <row r="357">
      <c r="D357" s="3"/>
      <c r="F357" s="4"/>
      <c r="G357" s="4"/>
      <c r="H357" s="5"/>
    </row>
    <row r="358">
      <c r="D358" s="3"/>
      <c r="F358" s="4"/>
      <c r="G358" s="4"/>
      <c r="H358" s="5"/>
    </row>
    <row r="359">
      <c r="D359" s="3"/>
      <c r="F359" s="4"/>
      <c r="G359" s="4"/>
      <c r="H359" s="5"/>
    </row>
    <row r="360">
      <c r="D360" s="3"/>
      <c r="F360" s="4"/>
      <c r="G360" s="4"/>
      <c r="H360" s="5"/>
    </row>
    <row r="361">
      <c r="D361" s="3"/>
      <c r="F361" s="4"/>
      <c r="G361" s="4"/>
      <c r="H361" s="5"/>
    </row>
    <row r="362">
      <c r="D362" s="3"/>
      <c r="F362" s="4"/>
      <c r="G362" s="4"/>
      <c r="H362" s="5"/>
    </row>
    <row r="363">
      <c r="D363" s="3"/>
      <c r="F363" s="4"/>
      <c r="G363" s="4"/>
      <c r="H363" s="5"/>
    </row>
    <row r="364">
      <c r="D364" s="3"/>
      <c r="F364" s="4"/>
      <c r="G364" s="4"/>
      <c r="H364" s="5"/>
    </row>
    <row r="365">
      <c r="D365" s="3"/>
      <c r="F365" s="4"/>
      <c r="G365" s="4"/>
      <c r="H365" s="5"/>
    </row>
    <row r="366">
      <c r="D366" s="3"/>
      <c r="F366" s="4"/>
      <c r="G366" s="4"/>
      <c r="H366" s="5"/>
    </row>
    <row r="367">
      <c r="D367" s="3"/>
      <c r="F367" s="4"/>
      <c r="G367" s="4"/>
      <c r="H367" s="5"/>
    </row>
    <row r="368">
      <c r="D368" s="3"/>
      <c r="F368" s="4"/>
      <c r="G368" s="4"/>
      <c r="H368" s="5"/>
    </row>
    <row r="369">
      <c r="D369" s="3"/>
      <c r="F369" s="4"/>
      <c r="G369" s="4"/>
      <c r="H369" s="5"/>
    </row>
    <row r="370">
      <c r="D370" s="3"/>
      <c r="F370" s="4"/>
      <c r="G370" s="4"/>
      <c r="H370" s="5"/>
    </row>
    <row r="371">
      <c r="D371" s="3"/>
      <c r="F371" s="4"/>
      <c r="G371" s="4"/>
      <c r="H371" s="5"/>
    </row>
    <row r="372">
      <c r="D372" s="3"/>
      <c r="F372" s="4"/>
      <c r="G372" s="4"/>
      <c r="H372" s="5"/>
    </row>
    <row r="373">
      <c r="D373" s="3"/>
      <c r="F373" s="4"/>
      <c r="G373" s="4"/>
      <c r="H373" s="5"/>
    </row>
    <row r="374">
      <c r="D374" s="3"/>
      <c r="F374" s="4"/>
      <c r="G374" s="4"/>
      <c r="H374" s="5"/>
    </row>
    <row r="375">
      <c r="D375" s="3"/>
      <c r="F375" s="4"/>
      <c r="G375" s="4"/>
      <c r="H375" s="5"/>
    </row>
    <row r="376">
      <c r="D376" s="3"/>
      <c r="F376" s="4"/>
      <c r="G376" s="4"/>
      <c r="H376" s="5"/>
    </row>
    <row r="377">
      <c r="D377" s="3"/>
      <c r="F377" s="4"/>
      <c r="G377" s="4"/>
      <c r="H377" s="5"/>
    </row>
    <row r="378">
      <c r="D378" s="3"/>
      <c r="F378" s="4"/>
      <c r="G378" s="4"/>
      <c r="H378" s="5"/>
    </row>
    <row r="379">
      <c r="D379" s="3"/>
      <c r="F379" s="4"/>
      <c r="G379" s="4"/>
      <c r="H379" s="5"/>
    </row>
    <row r="380">
      <c r="D380" s="3"/>
      <c r="F380" s="4"/>
      <c r="G380" s="4"/>
      <c r="H380" s="5"/>
    </row>
    <row r="381">
      <c r="D381" s="3"/>
      <c r="F381" s="4"/>
      <c r="G381" s="4"/>
      <c r="H381" s="5"/>
    </row>
    <row r="382">
      <c r="D382" s="3"/>
      <c r="F382" s="4"/>
      <c r="G382" s="4"/>
      <c r="H382" s="5"/>
    </row>
    <row r="383">
      <c r="D383" s="3"/>
      <c r="F383" s="4"/>
      <c r="G383" s="4"/>
      <c r="H383" s="5"/>
    </row>
    <row r="384">
      <c r="D384" s="3"/>
      <c r="F384" s="4"/>
      <c r="G384" s="4"/>
      <c r="H384" s="5"/>
    </row>
    <row r="385">
      <c r="D385" s="3"/>
      <c r="F385" s="4"/>
      <c r="G385" s="4"/>
      <c r="H385" s="5"/>
    </row>
    <row r="386">
      <c r="D386" s="3"/>
      <c r="F386" s="4"/>
      <c r="G386" s="4"/>
      <c r="H386" s="5"/>
    </row>
    <row r="387">
      <c r="D387" s="3"/>
      <c r="F387" s="4"/>
      <c r="G387" s="4"/>
      <c r="H387" s="5"/>
    </row>
    <row r="388">
      <c r="D388" s="3"/>
      <c r="F388" s="4"/>
      <c r="G388" s="4"/>
      <c r="H388" s="5"/>
    </row>
    <row r="389">
      <c r="D389" s="3"/>
      <c r="F389" s="4"/>
      <c r="G389" s="4"/>
      <c r="H389" s="5"/>
    </row>
    <row r="390">
      <c r="D390" s="3"/>
      <c r="F390" s="4"/>
      <c r="G390" s="4"/>
      <c r="H390" s="5"/>
    </row>
    <row r="391">
      <c r="D391" s="3"/>
      <c r="F391" s="4"/>
      <c r="G391" s="4"/>
      <c r="H391" s="5"/>
    </row>
    <row r="392">
      <c r="D392" s="3"/>
      <c r="F392" s="4"/>
      <c r="G392" s="4"/>
      <c r="H392" s="5"/>
    </row>
    <row r="393">
      <c r="D393" s="3"/>
      <c r="F393" s="4"/>
      <c r="G393" s="4"/>
      <c r="H393" s="5"/>
    </row>
    <row r="394">
      <c r="D394" s="3"/>
      <c r="F394" s="4"/>
      <c r="G394" s="4"/>
      <c r="H394" s="5"/>
    </row>
    <row r="395">
      <c r="D395" s="3"/>
      <c r="F395" s="4"/>
      <c r="G395" s="4"/>
      <c r="H395" s="5"/>
    </row>
    <row r="396">
      <c r="D396" s="3"/>
      <c r="F396" s="4"/>
      <c r="G396" s="4"/>
      <c r="H396" s="5"/>
    </row>
    <row r="397">
      <c r="D397" s="3"/>
      <c r="F397" s="4"/>
      <c r="G397" s="4"/>
      <c r="H397" s="5"/>
    </row>
    <row r="398">
      <c r="D398" s="3"/>
      <c r="F398" s="4"/>
      <c r="G398" s="4"/>
      <c r="H398" s="5"/>
    </row>
    <row r="399">
      <c r="D399" s="3"/>
      <c r="F399" s="4"/>
      <c r="G399" s="4"/>
      <c r="H399" s="5"/>
    </row>
    <row r="400">
      <c r="D400" s="3"/>
      <c r="F400" s="4"/>
      <c r="G400" s="4"/>
      <c r="H400" s="5"/>
    </row>
    <row r="401">
      <c r="D401" s="3"/>
      <c r="F401" s="4"/>
      <c r="G401" s="4"/>
      <c r="H401" s="5"/>
    </row>
    <row r="402">
      <c r="D402" s="3"/>
      <c r="F402" s="4"/>
      <c r="G402" s="4"/>
      <c r="H402" s="5"/>
    </row>
    <row r="403">
      <c r="D403" s="3"/>
      <c r="F403" s="4"/>
      <c r="G403" s="4"/>
      <c r="H403" s="5"/>
    </row>
    <row r="404">
      <c r="D404" s="3"/>
      <c r="F404" s="4"/>
      <c r="G404" s="4"/>
      <c r="H404" s="5"/>
    </row>
    <row r="405">
      <c r="D405" s="3"/>
      <c r="F405" s="4"/>
      <c r="G405" s="4"/>
      <c r="H405" s="5"/>
    </row>
    <row r="406">
      <c r="D406" s="3"/>
      <c r="F406" s="4"/>
      <c r="G406" s="4"/>
      <c r="H406" s="5"/>
    </row>
    <row r="407">
      <c r="D407" s="3"/>
      <c r="F407" s="4"/>
      <c r="G407" s="4"/>
      <c r="H407" s="5"/>
    </row>
    <row r="408">
      <c r="D408" s="3"/>
      <c r="F408" s="4"/>
      <c r="G408" s="4"/>
      <c r="H408" s="5"/>
    </row>
    <row r="409">
      <c r="D409" s="3"/>
      <c r="F409" s="4"/>
      <c r="G409" s="4"/>
      <c r="H409" s="5"/>
    </row>
    <row r="410">
      <c r="D410" s="3"/>
      <c r="F410" s="4"/>
      <c r="G410" s="4"/>
      <c r="H410" s="5"/>
    </row>
    <row r="411">
      <c r="D411" s="3"/>
      <c r="F411" s="4"/>
      <c r="G411" s="4"/>
      <c r="H411" s="5"/>
    </row>
    <row r="412">
      <c r="D412" s="3"/>
      <c r="F412" s="4"/>
      <c r="G412" s="4"/>
      <c r="H412" s="5"/>
    </row>
    <row r="413">
      <c r="D413" s="3"/>
      <c r="F413" s="4"/>
      <c r="G413" s="4"/>
      <c r="H413" s="5"/>
    </row>
    <row r="414">
      <c r="D414" s="3"/>
      <c r="F414" s="4"/>
      <c r="G414" s="4"/>
      <c r="H414" s="5"/>
    </row>
    <row r="415">
      <c r="D415" s="3"/>
      <c r="F415" s="4"/>
      <c r="G415" s="4"/>
      <c r="H415" s="5"/>
    </row>
    <row r="416">
      <c r="D416" s="3"/>
      <c r="F416" s="4"/>
      <c r="G416" s="4"/>
      <c r="H416" s="5"/>
    </row>
    <row r="417">
      <c r="D417" s="3"/>
      <c r="F417" s="4"/>
      <c r="G417" s="4"/>
      <c r="H417" s="5"/>
    </row>
    <row r="418">
      <c r="D418" s="3"/>
      <c r="F418" s="4"/>
      <c r="G418" s="4"/>
      <c r="H418" s="5"/>
    </row>
    <row r="419">
      <c r="D419" s="3"/>
      <c r="F419" s="4"/>
      <c r="G419" s="4"/>
      <c r="H419" s="5"/>
    </row>
    <row r="420">
      <c r="D420" s="3"/>
      <c r="F420" s="4"/>
      <c r="G420" s="4"/>
      <c r="H420" s="5"/>
    </row>
    <row r="421">
      <c r="D421" s="3"/>
      <c r="F421" s="4"/>
      <c r="G421" s="4"/>
      <c r="H421" s="5"/>
    </row>
    <row r="422">
      <c r="D422" s="3"/>
      <c r="F422" s="4"/>
      <c r="G422" s="4"/>
      <c r="H422" s="5"/>
    </row>
    <row r="423">
      <c r="D423" s="3"/>
      <c r="F423" s="4"/>
      <c r="G423" s="4"/>
      <c r="H423" s="5"/>
    </row>
    <row r="424">
      <c r="D424" s="3"/>
      <c r="F424" s="4"/>
      <c r="G424" s="4"/>
      <c r="H424" s="5"/>
    </row>
    <row r="425">
      <c r="D425" s="3"/>
      <c r="F425" s="4"/>
      <c r="G425" s="4"/>
      <c r="H425" s="5"/>
    </row>
    <row r="426">
      <c r="D426" s="3"/>
      <c r="F426" s="4"/>
      <c r="G426" s="4"/>
      <c r="H426" s="5"/>
    </row>
    <row r="427">
      <c r="D427" s="3"/>
      <c r="F427" s="4"/>
      <c r="G427" s="4"/>
      <c r="H427" s="5"/>
    </row>
    <row r="428">
      <c r="D428" s="3"/>
      <c r="F428" s="4"/>
      <c r="G428" s="4"/>
      <c r="H428" s="5"/>
    </row>
    <row r="429">
      <c r="D429" s="3"/>
      <c r="F429" s="4"/>
      <c r="G429" s="4"/>
      <c r="H429" s="5"/>
    </row>
    <row r="430">
      <c r="D430" s="3"/>
      <c r="F430" s="4"/>
      <c r="G430" s="4"/>
      <c r="H430" s="5"/>
    </row>
    <row r="431">
      <c r="D431" s="3"/>
      <c r="F431" s="4"/>
      <c r="G431" s="4"/>
      <c r="H431" s="5"/>
    </row>
    <row r="432">
      <c r="D432" s="3"/>
      <c r="F432" s="4"/>
      <c r="G432" s="4"/>
      <c r="H432" s="5"/>
    </row>
    <row r="433">
      <c r="D433" s="3"/>
      <c r="F433" s="4"/>
      <c r="G433" s="4"/>
      <c r="H433" s="5"/>
    </row>
    <row r="434">
      <c r="D434" s="3"/>
      <c r="F434" s="4"/>
      <c r="G434" s="4"/>
      <c r="H434" s="5"/>
    </row>
    <row r="435">
      <c r="D435" s="3"/>
      <c r="F435" s="4"/>
      <c r="G435" s="4"/>
      <c r="H435" s="5"/>
    </row>
    <row r="436">
      <c r="D436" s="3"/>
      <c r="F436" s="4"/>
      <c r="G436" s="4"/>
      <c r="H436" s="5"/>
    </row>
    <row r="437">
      <c r="D437" s="3"/>
      <c r="F437" s="4"/>
      <c r="G437" s="4"/>
      <c r="H437" s="5"/>
    </row>
    <row r="438">
      <c r="D438" s="3"/>
      <c r="F438" s="4"/>
      <c r="G438" s="4"/>
      <c r="H438" s="5"/>
    </row>
    <row r="439">
      <c r="D439" s="3"/>
      <c r="F439" s="4"/>
      <c r="G439" s="4"/>
      <c r="H439" s="5"/>
    </row>
    <row r="440">
      <c r="D440" s="3"/>
      <c r="F440" s="4"/>
      <c r="G440" s="4"/>
      <c r="H440" s="5"/>
    </row>
    <row r="441">
      <c r="D441" s="3"/>
      <c r="F441" s="4"/>
      <c r="G441" s="4"/>
      <c r="H441" s="5"/>
    </row>
    <row r="442">
      <c r="D442" s="3"/>
      <c r="F442" s="4"/>
      <c r="G442" s="4"/>
      <c r="H442" s="5"/>
    </row>
    <row r="443">
      <c r="D443" s="3"/>
      <c r="F443" s="4"/>
      <c r="G443" s="4"/>
      <c r="H443" s="5"/>
    </row>
    <row r="444">
      <c r="D444" s="3"/>
      <c r="F444" s="4"/>
      <c r="G444" s="4"/>
      <c r="H444" s="5"/>
    </row>
    <row r="445">
      <c r="D445" s="3"/>
      <c r="F445" s="4"/>
      <c r="G445" s="4"/>
      <c r="H445" s="5"/>
    </row>
    <row r="446">
      <c r="D446" s="3"/>
      <c r="F446" s="4"/>
      <c r="G446" s="4"/>
      <c r="H446" s="5"/>
    </row>
    <row r="447">
      <c r="D447" s="3"/>
      <c r="F447" s="4"/>
      <c r="G447" s="4"/>
      <c r="H447" s="5"/>
    </row>
    <row r="448">
      <c r="D448" s="3"/>
      <c r="F448" s="4"/>
      <c r="G448" s="4"/>
      <c r="H448" s="5"/>
    </row>
    <row r="449">
      <c r="D449" s="3"/>
      <c r="F449" s="4"/>
      <c r="G449" s="4"/>
      <c r="H449" s="5"/>
    </row>
    <row r="450">
      <c r="D450" s="3"/>
      <c r="F450" s="4"/>
      <c r="G450" s="4"/>
      <c r="H450" s="5"/>
    </row>
    <row r="451">
      <c r="D451" s="3"/>
      <c r="F451" s="4"/>
      <c r="G451" s="4"/>
      <c r="H451" s="5"/>
    </row>
    <row r="452">
      <c r="D452" s="3"/>
      <c r="F452" s="4"/>
      <c r="G452" s="4"/>
      <c r="H452" s="5"/>
    </row>
    <row r="453">
      <c r="D453" s="3"/>
      <c r="F453" s="4"/>
      <c r="G453" s="4"/>
      <c r="H453" s="5"/>
    </row>
    <row r="454">
      <c r="D454" s="3"/>
      <c r="F454" s="4"/>
      <c r="G454" s="4"/>
      <c r="H454" s="5"/>
    </row>
    <row r="455">
      <c r="D455" s="3"/>
      <c r="F455" s="4"/>
      <c r="G455" s="4"/>
      <c r="H455" s="5"/>
    </row>
    <row r="456">
      <c r="D456" s="3"/>
      <c r="F456" s="4"/>
      <c r="G456" s="4"/>
      <c r="H456" s="5"/>
    </row>
    <row r="457">
      <c r="D457" s="3"/>
      <c r="F457" s="4"/>
      <c r="G457" s="4"/>
      <c r="H457" s="5"/>
    </row>
    <row r="458">
      <c r="D458" s="3"/>
      <c r="F458" s="4"/>
      <c r="G458" s="4"/>
      <c r="H458" s="5"/>
    </row>
    <row r="459">
      <c r="D459" s="3"/>
      <c r="F459" s="4"/>
      <c r="G459" s="4"/>
      <c r="H459" s="5"/>
    </row>
    <row r="460">
      <c r="D460" s="3"/>
      <c r="F460" s="4"/>
      <c r="G460" s="4"/>
      <c r="H460" s="5"/>
    </row>
    <row r="461">
      <c r="D461" s="3"/>
      <c r="F461" s="4"/>
      <c r="G461" s="4"/>
      <c r="H461" s="5"/>
    </row>
    <row r="462">
      <c r="D462" s="3"/>
      <c r="F462" s="4"/>
      <c r="G462" s="4"/>
      <c r="H462" s="5"/>
    </row>
    <row r="463">
      <c r="D463" s="3"/>
      <c r="F463" s="4"/>
      <c r="G463" s="4"/>
      <c r="H463" s="5"/>
    </row>
    <row r="464">
      <c r="D464" s="3"/>
      <c r="F464" s="4"/>
      <c r="G464" s="4"/>
      <c r="H464" s="5"/>
    </row>
    <row r="465">
      <c r="D465" s="3"/>
      <c r="F465" s="4"/>
      <c r="G465" s="4"/>
      <c r="H465" s="5"/>
    </row>
    <row r="466">
      <c r="D466" s="3"/>
      <c r="F466" s="4"/>
      <c r="G466" s="4"/>
      <c r="H466" s="5"/>
    </row>
    <row r="467">
      <c r="D467" s="3"/>
      <c r="F467" s="4"/>
      <c r="G467" s="4"/>
      <c r="H467" s="5"/>
    </row>
    <row r="468">
      <c r="D468" s="3"/>
      <c r="F468" s="4"/>
      <c r="G468" s="4"/>
      <c r="H468" s="5"/>
    </row>
    <row r="469">
      <c r="D469" s="3"/>
      <c r="F469" s="4"/>
      <c r="G469" s="4"/>
      <c r="H469" s="5"/>
    </row>
    <row r="470">
      <c r="D470" s="3"/>
      <c r="F470" s="4"/>
      <c r="G470" s="4"/>
      <c r="H470" s="5"/>
    </row>
    <row r="471">
      <c r="D471" s="3"/>
      <c r="F471" s="4"/>
      <c r="G471" s="4"/>
      <c r="H471" s="5"/>
    </row>
    <row r="472">
      <c r="D472" s="3"/>
      <c r="F472" s="4"/>
      <c r="G472" s="4"/>
      <c r="H472" s="5"/>
    </row>
    <row r="473">
      <c r="D473" s="3"/>
      <c r="F473" s="4"/>
      <c r="G473" s="4"/>
      <c r="H473" s="5"/>
    </row>
    <row r="474">
      <c r="D474" s="3"/>
      <c r="F474" s="4"/>
      <c r="G474" s="4"/>
      <c r="H474" s="5"/>
    </row>
    <row r="475">
      <c r="D475" s="3"/>
      <c r="F475" s="4"/>
      <c r="G475" s="4"/>
      <c r="H475" s="5"/>
    </row>
    <row r="476">
      <c r="D476" s="3"/>
      <c r="F476" s="4"/>
      <c r="G476" s="4"/>
      <c r="H476" s="5"/>
    </row>
    <row r="477">
      <c r="D477" s="3"/>
      <c r="F477" s="4"/>
      <c r="G477" s="4"/>
      <c r="H477" s="5"/>
    </row>
    <row r="478">
      <c r="D478" s="3"/>
      <c r="F478" s="4"/>
      <c r="G478" s="4"/>
      <c r="H478" s="5"/>
    </row>
    <row r="479">
      <c r="D479" s="3"/>
      <c r="F479" s="4"/>
      <c r="G479" s="4"/>
      <c r="H479" s="5"/>
    </row>
    <row r="480">
      <c r="D480" s="3"/>
      <c r="F480" s="4"/>
      <c r="G480" s="4"/>
      <c r="H480" s="5"/>
    </row>
    <row r="481">
      <c r="D481" s="3"/>
      <c r="F481" s="4"/>
      <c r="G481" s="4"/>
      <c r="H481" s="5"/>
    </row>
    <row r="482">
      <c r="D482" s="3"/>
      <c r="F482" s="4"/>
      <c r="G482" s="4"/>
      <c r="H482" s="5"/>
    </row>
    <row r="483">
      <c r="D483" s="3"/>
      <c r="F483" s="4"/>
      <c r="G483" s="4"/>
      <c r="H483" s="5"/>
    </row>
    <row r="484">
      <c r="D484" s="3"/>
      <c r="F484" s="4"/>
      <c r="G484" s="4"/>
      <c r="H484" s="5"/>
    </row>
    <row r="485">
      <c r="D485" s="3"/>
      <c r="F485" s="4"/>
      <c r="G485" s="4"/>
      <c r="H485" s="5"/>
    </row>
    <row r="486">
      <c r="D486" s="3"/>
      <c r="F486" s="4"/>
      <c r="G486" s="4"/>
      <c r="H486" s="5"/>
    </row>
    <row r="487">
      <c r="D487" s="3"/>
      <c r="F487" s="4"/>
      <c r="G487" s="4"/>
      <c r="H487" s="5"/>
    </row>
    <row r="488">
      <c r="D488" s="3"/>
      <c r="F488" s="4"/>
      <c r="G488" s="4"/>
      <c r="H488" s="5"/>
    </row>
    <row r="489">
      <c r="D489" s="3"/>
      <c r="F489" s="4"/>
      <c r="G489" s="4"/>
      <c r="H489" s="5"/>
    </row>
    <row r="490">
      <c r="D490" s="3"/>
      <c r="F490" s="4"/>
      <c r="G490" s="4"/>
      <c r="H490" s="5"/>
    </row>
    <row r="491">
      <c r="D491" s="3"/>
      <c r="F491" s="4"/>
      <c r="G491" s="4"/>
      <c r="H491" s="5"/>
    </row>
    <row r="492">
      <c r="D492" s="3"/>
      <c r="F492" s="4"/>
      <c r="G492" s="4"/>
      <c r="H492" s="5"/>
    </row>
    <row r="493">
      <c r="D493" s="3"/>
      <c r="F493" s="4"/>
      <c r="G493" s="4"/>
      <c r="H493" s="5"/>
    </row>
    <row r="494">
      <c r="D494" s="3"/>
      <c r="F494" s="4"/>
      <c r="G494" s="4"/>
      <c r="H494" s="5"/>
    </row>
    <row r="495">
      <c r="D495" s="3"/>
      <c r="F495" s="4"/>
      <c r="G495" s="4"/>
      <c r="H495" s="5"/>
    </row>
    <row r="496">
      <c r="D496" s="3"/>
      <c r="F496" s="4"/>
      <c r="G496" s="4"/>
      <c r="H496" s="5"/>
    </row>
    <row r="497">
      <c r="D497" s="3"/>
      <c r="F497" s="4"/>
      <c r="G497" s="4"/>
      <c r="H497" s="5"/>
    </row>
    <row r="498">
      <c r="D498" s="3"/>
      <c r="F498" s="4"/>
      <c r="G498" s="4"/>
      <c r="H498" s="5"/>
    </row>
    <row r="499">
      <c r="D499" s="3"/>
      <c r="F499" s="4"/>
      <c r="G499" s="4"/>
      <c r="H499" s="5"/>
    </row>
    <row r="500">
      <c r="D500" s="3"/>
      <c r="F500" s="4"/>
      <c r="G500" s="4"/>
      <c r="H500" s="5"/>
    </row>
    <row r="501">
      <c r="D501" s="3"/>
      <c r="F501" s="4"/>
      <c r="G501" s="4"/>
      <c r="H501" s="5"/>
    </row>
    <row r="502">
      <c r="D502" s="3"/>
      <c r="F502" s="4"/>
      <c r="G502" s="4"/>
      <c r="H502" s="5"/>
    </row>
    <row r="503">
      <c r="D503" s="3"/>
      <c r="F503" s="4"/>
      <c r="G503" s="4"/>
      <c r="H503" s="5"/>
    </row>
    <row r="504">
      <c r="D504" s="3"/>
      <c r="F504" s="4"/>
      <c r="G504" s="4"/>
      <c r="H504" s="5"/>
    </row>
    <row r="505">
      <c r="D505" s="3"/>
      <c r="F505" s="4"/>
      <c r="G505" s="4"/>
      <c r="H505" s="5"/>
    </row>
    <row r="506">
      <c r="D506" s="3"/>
      <c r="F506" s="4"/>
      <c r="G506" s="4"/>
      <c r="H506" s="5"/>
    </row>
    <row r="507">
      <c r="D507" s="3"/>
      <c r="F507" s="4"/>
      <c r="G507" s="4"/>
      <c r="H507" s="5"/>
    </row>
    <row r="508">
      <c r="D508" s="3"/>
      <c r="F508" s="4"/>
      <c r="G508" s="4"/>
      <c r="H508" s="5"/>
    </row>
    <row r="509">
      <c r="D509" s="3"/>
      <c r="F509" s="4"/>
      <c r="G509" s="4"/>
      <c r="H509" s="5"/>
    </row>
    <row r="510">
      <c r="D510" s="3"/>
      <c r="F510" s="4"/>
      <c r="G510" s="4"/>
      <c r="H510" s="5"/>
    </row>
    <row r="511">
      <c r="D511" s="3"/>
      <c r="F511" s="4"/>
      <c r="G511" s="4"/>
      <c r="H511" s="5"/>
    </row>
    <row r="512">
      <c r="D512" s="3"/>
      <c r="F512" s="4"/>
      <c r="G512" s="4"/>
      <c r="H512" s="5"/>
    </row>
    <row r="513">
      <c r="D513" s="3"/>
      <c r="F513" s="4"/>
      <c r="G513" s="4"/>
      <c r="H513" s="5"/>
    </row>
    <row r="514">
      <c r="D514" s="3"/>
      <c r="F514" s="4"/>
      <c r="G514" s="4"/>
      <c r="H514" s="5"/>
    </row>
    <row r="515">
      <c r="D515" s="3"/>
      <c r="F515" s="4"/>
      <c r="G515" s="4"/>
      <c r="H515" s="5"/>
    </row>
    <row r="516">
      <c r="D516" s="3"/>
      <c r="F516" s="4"/>
      <c r="G516" s="4"/>
      <c r="H516" s="5"/>
    </row>
    <row r="517">
      <c r="D517" s="3"/>
      <c r="F517" s="4"/>
      <c r="G517" s="4"/>
      <c r="H517" s="5"/>
    </row>
    <row r="518">
      <c r="D518" s="3"/>
      <c r="F518" s="4"/>
      <c r="G518" s="4"/>
      <c r="H518" s="5"/>
    </row>
    <row r="519">
      <c r="D519" s="3"/>
      <c r="F519" s="4"/>
      <c r="G519" s="4"/>
      <c r="H519" s="5"/>
    </row>
    <row r="520">
      <c r="D520" s="3"/>
      <c r="F520" s="4"/>
      <c r="G520" s="4"/>
      <c r="H520" s="5"/>
    </row>
    <row r="521">
      <c r="D521" s="3"/>
      <c r="F521" s="4"/>
      <c r="G521" s="4"/>
      <c r="H521" s="5"/>
    </row>
    <row r="522">
      <c r="D522" s="3"/>
      <c r="F522" s="4"/>
      <c r="G522" s="4"/>
      <c r="H522" s="5"/>
    </row>
    <row r="523">
      <c r="D523" s="3"/>
      <c r="F523" s="4"/>
      <c r="G523" s="4"/>
      <c r="H523" s="5"/>
    </row>
    <row r="524">
      <c r="D524" s="3"/>
      <c r="F524" s="4"/>
      <c r="G524" s="4"/>
      <c r="H524" s="5"/>
    </row>
    <row r="525">
      <c r="D525" s="3"/>
      <c r="F525" s="4"/>
      <c r="G525" s="4"/>
      <c r="H525" s="5"/>
    </row>
    <row r="526">
      <c r="D526" s="3"/>
      <c r="F526" s="4"/>
      <c r="G526" s="4"/>
      <c r="H526" s="5"/>
    </row>
    <row r="527">
      <c r="D527" s="3"/>
      <c r="F527" s="4"/>
      <c r="G527" s="4"/>
      <c r="H527" s="5"/>
    </row>
    <row r="528">
      <c r="D528" s="3"/>
      <c r="F528" s="4"/>
      <c r="G528" s="4"/>
      <c r="H528" s="5"/>
    </row>
    <row r="529">
      <c r="D529" s="3"/>
      <c r="F529" s="4"/>
      <c r="G529" s="4"/>
      <c r="H529" s="5"/>
    </row>
    <row r="530">
      <c r="D530" s="3"/>
      <c r="F530" s="4"/>
      <c r="G530" s="4"/>
      <c r="H530" s="5"/>
    </row>
    <row r="531">
      <c r="D531" s="3"/>
      <c r="F531" s="4"/>
      <c r="G531" s="4"/>
      <c r="H531" s="5"/>
    </row>
    <row r="532">
      <c r="D532" s="3"/>
      <c r="F532" s="4"/>
      <c r="G532" s="4"/>
      <c r="H532" s="5"/>
    </row>
    <row r="533">
      <c r="D533" s="3"/>
      <c r="F533" s="4"/>
      <c r="G533" s="4"/>
      <c r="H533" s="5"/>
    </row>
    <row r="534">
      <c r="D534" s="3"/>
      <c r="F534" s="4"/>
      <c r="G534" s="4"/>
      <c r="H534" s="5"/>
    </row>
    <row r="535">
      <c r="D535" s="3"/>
      <c r="F535" s="4"/>
      <c r="G535" s="4"/>
      <c r="H535" s="5"/>
    </row>
    <row r="536">
      <c r="D536" s="3"/>
      <c r="F536" s="4"/>
      <c r="G536" s="4"/>
      <c r="H536" s="5"/>
    </row>
    <row r="537">
      <c r="D537" s="3"/>
      <c r="F537" s="4"/>
      <c r="G537" s="4"/>
      <c r="H537" s="5"/>
    </row>
    <row r="538">
      <c r="D538" s="3"/>
      <c r="F538" s="4"/>
      <c r="G538" s="4"/>
      <c r="H538" s="5"/>
    </row>
    <row r="539">
      <c r="D539" s="3"/>
      <c r="F539" s="4"/>
      <c r="G539" s="4"/>
      <c r="H539" s="5"/>
    </row>
    <row r="540">
      <c r="D540" s="3"/>
      <c r="F540" s="4"/>
      <c r="G540" s="4"/>
      <c r="H540" s="5"/>
    </row>
    <row r="541">
      <c r="D541" s="3"/>
      <c r="F541" s="4"/>
      <c r="G541" s="4"/>
      <c r="H541" s="5"/>
    </row>
    <row r="542">
      <c r="D542" s="3"/>
      <c r="F542" s="4"/>
      <c r="G542" s="4"/>
      <c r="H542" s="5"/>
    </row>
    <row r="543">
      <c r="D543" s="3"/>
      <c r="F543" s="4"/>
      <c r="G543" s="4"/>
      <c r="H543" s="5"/>
    </row>
    <row r="544">
      <c r="D544" s="3"/>
      <c r="F544" s="4"/>
      <c r="G544" s="4"/>
      <c r="H544" s="5"/>
    </row>
    <row r="545">
      <c r="D545" s="3"/>
      <c r="F545" s="4"/>
      <c r="G545" s="4"/>
      <c r="H545" s="5"/>
    </row>
    <row r="546">
      <c r="D546" s="3"/>
      <c r="F546" s="4"/>
      <c r="G546" s="4"/>
      <c r="H546" s="5"/>
    </row>
    <row r="547">
      <c r="D547" s="3"/>
      <c r="F547" s="4"/>
      <c r="G547" s="4"/>
      <c r="H547" s="5"/>
    </row>
    <row r="548">
      <c r="D548" s="3"/>
      <c r="F548" s="4"/>
      <c r="G548" s="4"/>
      <c r="H548" s="5"/>
    </row>
    <row r="549">
      <c r="D549" s="3"/>
      <c r="F549" s="4"/>
      <c r="G549" s="4"/>
      <c r="H549" s="5"/>
    </row>
    <row r="550">
      <c r="D550" s="3"/>
      <c r="F550" s="4"/>
      <c r="G550" s="4"/>
      <c r="H550" s="5"/>
    </row>
    <row r="551">
      <c r="D551" s="3"/>
      <c r="F551" s="4"/>
      <c r="G551" s="4"/>
      <c r="H551" s="5"/>
    </row>
    <row r="552">
      <c r="D552" s="3"/>
      <c r="F552" s="4"/>
      <c r="G552" s="4"/>
      <c r="H552" s="5"/>
    </row>
    <row r="553">
      <c r="D553" s="3"/>
      <c r="F553" s="4"/>
      <c r="G553" s="4"/>
      <c r="H553" s="5"/>
    </row>
    <row r="554">
      <c r="D554" s="3"/>
      <c r="F554" s="4"/>
      <c r="G554" s="4"/>
      <c r="H554" s="5"/>
    </row>
    <row r="555">
      <c r="D555" s="3"/>
      <c r="F555" s="4"/>
      <c r="G555" s="4"/>
      <c r="H555" s="5"/>
    </row>
    <row r="556">
      <c r="D556" s="3"/>
      <c r="F556" s="4"/>
      <c r="G556" s="4"/>
      <c r="H556" s="5"/>
    </row>
    <row r="557">
      <c r="D557" s="3"/>
      <c r="F557" s="4"/>
      <c r="G557" s="4"/>
      <c r="H557" s="5"/>
    </row>
    <row r="558">
      <c r="D558" s="3"/>
      <c r="F558" s="4"/>
      <c r="G558" s="4"/>
      <c r="H558" s="5"/>
    </row>
    <row r="559">
      <c r="D559" s="3"/>
      <c r="F559" s="4"/>
      <c r="G559" s="4"/>
      <c r="H559" s="5"/>
    </row>
    <row r="560">
      <c r="D560" s="3"/>
      <c r="F560" s="4"/>
      <c r="G560" s="4"/>
      <c r="H560" s="5"/>
    </row>
    <row r="561">
      <c r="D561" s="3"/>
      <c r="F561" s="4"/>
      <c r="G561" s="4"/>
      <c r="H561" s="5"/>
    </row>
    <row r="562">
      <c r="D562" s="3"/>
      <c r="F562" s="4"/>
      <c r="G562" s="4"/>
      <c r="H562" s="5"/>
    </row>
    <row r="563">
      <c r="D563" s="3"/>
      <c r="F563" s="4"/>
      <c r="G563" s="4"/>
      <c r="H563" s="5"/>
    </row>
    <row r="564">
      <c r="D564" s="3"/>
      <c r="F564" s="4"/>
      <c r="G564" s="4"/>
      <c r="H564" s="5"/>
    </row>
    <row r="565">
      <c r="D565" s="3"/>
      <c r="F565" s="4"/>
      <c r="G565" s="4"/>
      <c r="H565" s="5"/>
    </row>
    <row r="566">
      <c r="D566" s="3"/>
      <c r="F566" s="4"/>
      <c r="G566" s="4"/>
      <c r="H566" s="5"/>
    </row>
    <row r="567">
      <c r="D567" s="3"/>
      <c r="F567" s="4"/>
      <c r="G567" s="4"/>
      <c r="H567" s="5"/>
    </row>
    <row r="568">
      <c r="D568" s="3"/>
      <c r="F568" s="4"/>
      <c r="G568" s="4"/>
      <c r="H568" s="5"/>
    </row>
    <row r="569">
      <c r="D569" s="3"/>
      <c r="F569" s="4"/>
      <c r="G569" s="4"/>
      <c r="H569" s="5"/>
    </row>
    <row r="570">
      <c r="D570" s="3"/>
      <c r="F570" s="4"/>
      <c r="G570" s="4"/>
      <c r="H570" s="5"/>
    </row>
    <row r="571">
      <c r="D571" s="3"/>
      <c r="F571" s="4"/>
      <c r="G571" s="4"/>
      <c r="H571" s="5"/>
    </row>
    <row r="572">
      <c r="D572" s="3"/>
      <c r="F572" s="4"/>
      <c r="G572" s="4"/>
      <c r="H572" s="5"/>
    </row>
    <row r="573">
      <c r="D573" s="3"/>
      <c r="F573" s="4"/>
      <c r="G573" s="4"/>
      <c r="H573" s="5"/>
    </row>
    <row r="574">
      <c r="D574" s="3"/>
      <c r="F574" s="4"/>
      <c r="G574" s="4"/>
      <c r="H574" s="5"/>
    </row>
    <row r="575">
      <c r="D575" s="3"/>
      <c r="F575" s="4"/>
      <c r="G575" s="4"/>
      <c r="H575" s="5"/>
    </row>
    <row r="576">
      <c r="D576" s="3"/>
      <c r="F576" s="4"/>
      <c r="G576" s="4"/>
      <c r="H576" s="5"/>
    </row>
    <row r="577">
      <c r="D577" s="3"/>
      <c r="F577" s="4"/>
      <c r="G577" s="4"/>
      <c r="H577" s="5"/>
    </row>
    <row r="578">
      <c r="D578" s="3"/>
      <c r="F578" s="4"/>
      <c r="G578" s="4"/>
      <c r="H578" s="5"/>
    </row>
    <row r="579">
      <c r="D579" s="3"/>
      <c r="F579" s="4"/>
      <c r="G579" s="4"/>
      <c r="H579" s="5"/>
    </row>
    <row r="580">
      <c r="D580" s="3"/>
      <c r="F580" s="4"/>
      <c r="G580" s="4"/>
      <c r="H580" s="5"/>
    </row>
    <row r="581">
      <c r="D581" s="3"/>
      <c r="F581" s="4"/>
      <c r="G581" s="4"/>
      <c r="H581" s="5"/>
    </row>
    <row r="582">
      <c r="D582" s="3"/>
      <c r="F582" s="4"/>
      <c r="G582" s="4"/>
      <c r="H582" s="5"/>
    </row>
    <row r="583">
      <c r="D583" s="3"/>
      <c r="F583" s="4"/>
      <c r="G583" s="4"/>
      <c r="H583" s="5"/>
    </row>
    <row r="584">
      <c r="D584" s="3"/>
      <c r="F584" s="4"/>
      <c r="G584" s="4"/>
      <c r="H584" s="5"/>
    </row>
    <row r="585">
      <c r="D585" s="3"/>
      <c r="F585" s="4"/>
      <c r="G585" s="4"/>
      <c r="H585" s="5"/>
    </row>
    <row r="586">
      <c r="D586" s="3"/>
      <c r="F586" s="4"/>
      <c r="G586" s="4"/>
      <c r="H586" s="5"/>
    </row>
    <row r="587">
      <c r="D587" s="3"/>
      <c r="F587" s="4"/>
      <c r="G587" s="4"/>
      <c r="H587" s="5"/>
    </row>
    <row r="588">
      <c r="D588" s="3"/>
      <c r="F588" s="4"/>
      <c r="G588" s="4"/>
      <c r="H588" s="5"/>
    </row>
    <row r="589">
      <c r="D589" s="3"/>
      <c r="F589" s="4"/>
      <c r="G589" s="4"/>
      <c r="H589" s="5"/>
    </row>
    <row r="590">
      <c r="D590" s="3"/>
      <c r="F590" s="4"/>
      <c r="G590" s="4"/>
      <c r="H590" s="5"/>
    </row>
    <row r="591">
      <c r="D591" s="3"/>
      <c r="F591" s="4"/>
      <c r="G591" s="4"/>
      <c r="H591" s="5"/>
    </row>
    <row r="592">
      <c r="D592" s="3"/>
      <c r="F592" s="4"/>
      <c r="G592" s="4"/>
      <c r="H592" s="5"/>
    </row>
    <row r="593">
      <c r="D593" s="3"/>
      <c r="F593" s="4"/>
      <c r="G593" s="4"/>
      <c r="H593" s="5"/>
    </row>
    <row r="594">
      <c r="D594" s="3"/>
      <c r="F594" s="4"/>
      <c r="G594" s="4"/>
      <c r="H594" s="5"/>
    </row>
    <row r="595">
      <c r="D595" s="3"/>
      <c r="F595" s="4"/>
      <c r="G595" s="4"/>
      <c r="H595" s="5"/>
    </row>
    <row r="596">
      <c r="D596" s="3"/>
      <c r="F596" s="4"/>
      <c r="G596" s="4"/>
      <c r="H596" s="5"/>
    </row>
    <row r="597">
      <c r="D597" s="3"/>
      <c r="F597" s="4"/>
      <c r="G597" s="4"/>
      <c r="H597" s="5"/>
    </row>
    <row r="598">
      <c r="D598" s="3"/>
      <c r="F598" s="4"/>
      <c r="G598" s="4"/>
      <c r="H598" s="5"/>
    </row>
    <row r="599">
      <c r="D599" s="3"/>
      <c r="F599" s="4"/>
      <c r="G599" s="4"/>
      <c r="H599" s="5"/>
    </row>
    <row r="600">
      <c r="D600" s="3"/>
      <c r="F600" s="4"/>
      <c r="G600" s="4"/>
      <c r="H600" s="5"/>
    </row>
    <row r="601">
      <c r="D601" s="3"/>
      <c r="F601" s="4"/>
      <c r="G601" s="4"/>
      <c r="H601" s="5"/>
    </row>
    <row r="602">
      <c r="D602" s="3"/>
      <c r="F602" s="4"/>
      <c r="G602" s="4"/>
      <c r="H602" s="5"/>
    </row>
    <row r="603">
      <c r="D603" s="3"/>
      <c r="F603" s="4"/>
      <c r="G603" s="4"/>
      <c r="H603" s="5"/>
    </row>
    <row r="604">
      <c r="D604" s="3"/>
      <c r="F604" s="4"/>
      <c r="G604" s="4"/>
      <c r="H604" s="5"/>
    </row>
    <row r="605">
      <c r="D605" s="3"/>
      <c r="F605" s="4"/>
      <c r="G605" s="4"/>
      <c r="H605" s="5"/>
    </row>
    <row r="606">
      <c r="D606" s="3"/>
      <c r="F606" s="4"/>
      <c r="G606" s="4"/>
      <c r="H606" s="5"/>
    </row>
    <row r="607">
      <c r="D607" s="3"/>
      <c r="F607" s="4"/>
      <c r="G607" s="4"/>
      <c r="H607" s="5"/>
    </row>
    <row r="608">
      <c r="D608" s="3"/>
      <c r="F608" s="4"/>
      <c r="G608" s="4"/>
      <c r="H608" s="5"/>
    </row>
    <row r="609">
      <c r="D609" s="3"/>
      <c r="F609" s="4"/>
      <c r="G609" s="4"/>
      <c r="H609" s="5"/>
    </row>
    <row r="610">
      <c r="D610" s="3"/>
      <c r="F610" s="4"/>
      <c r="G610" s="4"/>
      <c r="H610" s="5"/>
    </row>
    <row r="611">
      <c r="D611" s="3"/>
      <c r="F611" s="4"/>
      <c r="G611" s="4"/>
      <c r="H611" s="5"/>
    </row>
    <row r="612">
      <c r="D612" s="3"/>
      <c r="F612" s="4"/>
      <c r="G612" s="4"/>
      <c r="H612" s="5"/>
    </row>
    <row r="613">
      <c r="D613" s="3"/>
      <c r="F613" s="4"/>
      <c r="G613" s="4"/>
      <c r="H613" s="5"/>
    </row>
    <row r="614">
      <c r="D614" s="3"/>
      <c r="F614" s="4"/>
      <c r="G614" s="4"/>
      <c r="H614" s="5"/>
    </row>
    <row r="615">
      <c r="D615" s="3"/>
      <c r="F615" s="4"/>
      <c r="G615" s="4"/>
      <c r="H615" s="5"/>
    </row>
    <row r="616">
      <c r="D616" s="3"/>
      <c r="F616" s="4"/>
      <c r="G616" s="4"/>
      <c r="H616" s="5"/>
    </row>
    <row r="617">
      <c r="D617" s="3"/>
      <c r="F617" s="4"/>
      <c r="G617" s="4"/>
      <c r="H617" s="5"/>
    </row>
    <row r="618">
      <c r="D618" s="3"/>
      <c r="F618" s="4"/>
      <c r="G618" s="4"/>
      <c r="H618" s="5"/>
    </row>
    <row r="619">
      <c r="D619" s="3"/>
      <c r="F619" s="4"/>
      <c r="G619" s="4"/>
      <c r="H619" s="5"/>
    </row>
    <row r="620">
      <c r="D620" s="3"/>
      <c r="F620" s="4"/>
      <c r="G620" s="4"/>
      <c r="H620" s="5"/>
    </row>
    <row r="621">
      <c r="D621" s="3"/>
      <c r="F621" s="4"/>
      <c r="G621" s="4"/>
      <c r="H621" s="5"/>
    </row>
    <row r="622">
      <c r="D622" s="3"/>
      <c r="F622" s="4"/>
      <c r="G622" s="4"/>
      <c r="H622" s="5"/>
    </row>
    <row r="623">
      <c r="D623" s="3"/>
      <c r="F623" s="4"/>
      <c r="G623" s="4"/>
      <c r="H623" s="5"/>
    </row>
    <row r="624">
      <c r="D624" s="3"/>
      <c r="F624" s="4"/>
      <c r="G624" s="4"/>
      <c r="H624" s="5"/>
    </row>
    <row r="625">
      <c r="D625" s="3"/>
      <c r="F625" s="4"/>
      <c r="G625" s="4"/>
      <c r="H625" s="5"/>
    </row>
    <row r="626">
      <c r="D626" s="3"/>
      <c r="F626" s="4"/>
      <c r="G626" s="4"/>
      <c r="H626" s="5"/>
    </row>
    <row r="627">
      <c r="D627" s="3"/>
      <c r="F627" s="4"/>
      <c r="G627" s="4"/>
      <c r="H627" s="5"/>
    </row>
    <row r="628">
      <c r="D628" s="3"/>
      <c r="F628" s="4"/>
      <c r="G628" s="4"/>
      <c r="H628" s="5"/>
    </row>
    <row r="629">
      <c r="D629" s="3"/>
      <c r="F629" s="4"/>
      <c r="G629" s="4"/>
      <c r="H629" s="5"/>
    </row>
    <row r="630">
      <c r="D630" s="3"/>
      <c r="F630" s="4"/>
      <c r="G630" s="4"/>
      <c r="H630" s="5"/>
    </row>
    <row r="631">
      <c r="D631" s="3"/>
      <c r="F631" s="4"/>
      <c r="G631" s="4"/>
      <c r="H631" s="5"/>
    </row>
    <row r="632">
      <c r="D632" s="3"/>
      <c r="F632" s="4"/>
      <c r="G632" s="4"/>
      <c r="H632" s="5"/>
    </row>
    <row r="633">
      <c r="D633" s="3"/>
      <c r="F633" s="4"/>
      <c r="G633" s="4"/>
      <c r="H633" s="5"/>
    </row>
    <row r="634">
      <c r="D634" s="3"/>
      <c r="F634" s="4"/>
      <c r="G634" s="4"/>
      <c r="H634" s="5"/>
    </row>
    <row r="635">
      <c r="D635" s="3"/>
      <c r="F635" s="4"/>
      <c r="G635" s="4"/>
      <c r="H635" s="5"/>
    </row>
    <row r="636">
      <c r="D636" s="3"/>
      <c r="F636" s="4"/>
      <c r="G636" s="4"/>
      <c r="H636" s="5"/>
    </row>
    <row r="637">
      <c r="D637" s="3"/>
      <c r="F637" s="4"/>
      <c r="G637" s="4"/>
      <c r="H637" s="5"/>
    </row>
    <row r="638">
      <c r="D638" s="3"/>
      <c r="F638" s="4"/>
      <c r="G638" s="4"/>
      <c r="H638" s="5"/>
    </row>
    <row r="639">
      <c r="D639" s="3"/>
      <c r="F639" s="4"/>
      <c r="G639" s="4"/>
      <c r="H639" s="5"/>
    </row>
    <row r="640">
      <c r="D640" s="3"/>
      <c r="F640" s="4"/>
      <c r="G640" s="4"/>
      <c r="H640" s="5"/>
    </row>
    <row r="641">
      <c r="D641" s="3"/>
      <c r="F641" s="4"/>
      <c r="G641" s="4"/>
      <c r="H641" s="5"/>
    </row>
    <row r="642">
      <c r="D642" s="3"/>
      <c r="F642" s="4"/>
      <c r="G642" s="4"/>
      <c r="H642" s="5"/>
    </row>
    <row r="643">
      <c r="D643" s="3"/>
      <c r="F643" s="4"/>
      <c r="G643" s="4"/>
      <c r="H643" s="5"/>
    </row>
    <row r="644">
      <c r="D644" s="3"/>
      <c r="F644" s="4"/>
      <c r="G644" s="4"/>
      <c r="H644" s="5"/>
    </row>
    <row r="645">
      <c r="D645" s="3"/>
      <c r="F645" s="4"/>
      <c r="G645" s="4"/>
      <c r="H645" s="5"/>
    </row>
    <row r="646">
      <c r="D646" s="3"/>
      <c r="F646" s="4"/>
      <c r="G646" s="4"/>
      <c r="H646" s="5"/>
    </row>
    <row r="647">
      <c r="D647" s="3"/>
      <c r="F647" s="4"/>
      <c r="G647" s="4"/>
      <c r="H647" s="5"/>
    </row>
    <row r="648">
      <c r="D648" s="3"/>
      <c r="F648" s="4"/>
      <c r="G648" s="4"/>
      <c r="H648" s="5"/>
    </row>
    <row r="649">
      <c r="D649" s="3"/>
      <c r="F649" s="4"/>
      <c r="G649" s="4"/>
      <c r="H649" s="5"/>
    </row>
    <row r="650">
      <c r="D650" s="3"/>
      <c r="F650" s="4"/>
      <c r="G650" s="4"/>
      <c r="H650" s="5"/>
    </row>
    <row r="651">
      <c r="D651" s="3"/>
      <c r="F651" s="4"/>
      <c r="G651" s="4"/>
      <c r="H651" s="5"/>
    </row>
    <row r="652">
      <c r="D652" s="3"/>
      <c r="F652" s="4"/>
      <c r="G652" s="4"/>
      <c r="H652" s="5"/>
    </row>
    <row r="653">
      <c r="D653" s="3"/>
      <c r="F653" s="4"/>
      <c r="G653" s="4"/>
      <c r="H653" s="5"/>
    </row>
    <row r="654">
      <c r="D654" s="3"/>
      <c r="F654" s="4"/>
      <c r="G654" s="4"/>
      <c r="H654" s="5"/>
    </row>
    <row r="655">
      <c r="D655" s="3"/>
      <c r="F655" s="4"/>
      <c r="G655" s="4"/>
      <c r="H655" s="5"/>
    </row>
    <row r="656">
      <c r="D656" s="3"/>
      <c r="F656" s="4"/>
      <c r="G656" s="4"/>
      <c r="H656" s="5"/>
    </row>
    <row r="657">
      <c r="D657" s="3"/>
      <c r="F657" s="4"/>
      <c r="G657" s="4"/>
      <c r="H657" s="5"/>
    </row>
    <row r="658">
      <c r="D658" s="3"/>
      <c r="F658" s="4"/>
      <c r="G658" s="4"/>
      <c r="H658" s="5"/>
    </row>
    <row r="659">
      <c r="D659" s="3"/>
      <c r="F659" s="4"/>
      <c r="G659" s="4"/>
      <c r="H659" s="5"/>
    </row>
    <row r="660">
      <c r="D660" s="3"/>
      <c r="F660" s="4"/>
      <c r="G660" s="4"/>
      <c r="H660" s="5"/>
    </row>
    <row r="661">
      <c r="D661" s="3"/>
      <c r="F661" s="4"/>
      <c r="G661" s="4"/>
      <c r="H661" s="5"/>
    </row>
    <row r="662">
      <c r="D662" s="3"/>
      <c r="F662" s="4"/>
      <c r="G662" s="4"/>
      <c r="H662" s="5"/>
    </row>
    <row r="663">
      <c r="D663" s="3"/>
      <c r="F663" s="4"/>
      <c r="G663" s="4"/>
      <c r="H663" s="5"/>
    </row>
    <row r="664">
      <c r="D664" s="3"/>
      <c r="F664" s="4"/>
      <c r="G664" s="4"/>
      <c r="H664" s="5"/>
    </row>
    <row r="665">
      <c r="D665" s="3"/>
      <c r="F665" s="4"/>
      <c r="G665" s="4"/>
      <c r="H665" s="5"/>
    </row>
    <row r="666">
      <c r="D666" s="3"/>
      <c r="F666" s="4"/>
      <c r="G666" s="4"/>
      <c r="H666" s="5"/>
    </row>
    <row r="667">
      <c r="D667" s="3"/>
      <c r="F667" s="4"/>
      <c r="G667" s="4"/>
      <c r="H667" s="5"/>
    </row>
    <row r="668">
      <c r="D668" s="3"/>
      <c r="F668" s="4"/>
      <c r="G668" s="4"/>
      <c r="H668" s="5"/>
    </row>
    <row r="669">
      <c r="D669" s="3"/>
      <c r="F669" s="4"/>
      <c r="G669" s="4"/>
      <c r="H669" s="5"/>
    </row>
    <row r="670">
      <c r="D670" s="3"/>
      <c r="F670" s="4"/>
      <c r="G670" s="4"/>
      <c r="H670" s="5"/>
    </row>
    <row r="671">
      <c r="D671" s="3"/>
      <c r="F671" s="4"/>
      <c r="G671" s="4"/>
      <c r="H671" s="5"/>
    </row>
    <row r="672">
      <c r="D672" s="3"/>
      <c r="F672" s="4"/>
      <c r="G672" s="4"/>
      <c r="H672" s="5"/>
    </row>
    <row r="673">
      <c r="D673" s="3"/>
      <c r="F673" s="4"/>
      <c r="G673" s="4"/>
      <c r="H673" s="5"/>
    </row>
    <row r="674">
      <c r="D674" s="3"/>
      <c r="F674" s="4"/>
      <c r="G674" s="4"/>
      <c r="H674" s="5"/>
    </row>
    <row r="675">
      <c r="D675" s="3"/>
      <c r="F675" s="4"/>
      <c r="G675" s="4"/>
      <c r="H675" s="5"/>
    </row>
    <row r="676">
      <c r="D676" s="3"/>
      <c r="F676" s="4"/>
      <c r="G676" s="4"/>
      <c r="H676" s="5"/>
    </row>
    <row r="677">
      <c r="D677" s="3"/>
      <c r="F677" s="4"/>
      <c r="G677" s="4"/>
      <c r="H677" s="5"/>
    </row>
    <row r="678">
      <c r="D678" s="3"/>
      <c r="F678" s="4"/>
      <c r="G678" s="4"/>
      <c r="H678" s="5"/>
    </row>
    <row r="679">
      <c r="D679" s="3"/>
      <c r="F679" s="4"/>
      <c r="G679" s="4"/>
      <c r="H679" s="5"/>
    </row>
    <row r="680">
      <c r="D680" s="3"/>
      <c r="F680" s="4"/>
      <c r="G680" s="4"/>
      <c r="H680" s="5"/>
    </row>
    <row r="681">
      <c r="D681" s="3"/>
      <c r="F681" s="4"/>
      <c r="G681" s="4"/>
      <c r="H681" s="5"/>
    </row>
    <row r="682">
      <c r="D682" s="3"/>
      <c r="F682" s="4"/>
      <c r="G682" s="4"/>
      <c r="H682" s="5"/>
    </row>
    <row r="683">
      <c r="D683" s="3"/>
      <c r="F683" s="4"/>
      <c r="G683" s="4"/>
      <c r="H683" s="5"/>
    </row>
    <row r="684">
      <c r="D684" s="3"/>
      <c r="F684" s="4"/>
      <c r="G684" s="4"/>
      <c r="H684" s="5"/>
    </row>
    <row r="685">
      <c r="D685" s="3"/>
      <c r="F685" s="4"/>
      <c r="G685" s="4"/>
      <c r="H685" s="5"/>
    </row>
    <row r="686">
      <c r="D686" s="3"/>
      <c r="F686" s="4"/>
      <c r="G686" s="4"/>
      <c r="H686" s="5"/>
    </row>
    <row r="687">
      <c r="D687" s="3"/>
      <c r="F687" s="4"/>
      <c r="G687" s="4"/>
      <c r="H687" s="5"/>
    </row>
    <row r="688">
      <c r="D688" s="3"/>
      <c r="F688" s="4"/>
      <c r="G688" s="4"/>
      <c r="H688" s="5"/>
    </row>
    <row r="689">
      <c r="D689" s="3"/>
      <c r="F689" s="4"/>
      <c r="G689" s="4"/>
      <c r="H689" s="5"/>
    </row>
    <row r="690">
      <c r="D690" s="3"/>
      <c r="F690" s="4"/>
      <c r="G690" s="4"/>
      <c r="H690" s="5"/>
    </row>
    <row r="691">
      <c r="D691" s="3"/>
      <c r="F691" s="4"/>
      <c r="G691" s="4"/>
      <c r="H691" s="5"/>
    </row>
    <row r="692">
      <c r="D692" s="3"/>
      <c r="F692" s="4"/>
      <c r="G692" s="4"/>
      <c r="H692" s="5"/>
    </row>
    <row r="693">
      <c r="D693" s="3"/>
      <c r="F693" s="4"/>
      <c r="G693" s="4"/>
      <c r="H693" s="5"/>
    </row>
    <row r="694">
      <c r="D694" s="3"/>
      <c r="F694" s="4"/>
      <c r="G694" s="4"/>
      <c r="H694" s="5"/>
    </row>
    <row r="695">
      <c r="D695" s="3"/>
      <c r="F695" s="4"/>
      <c r="G695" s="4"/>
      <c r="H695" s="5"/>
    </row>
    <row r="696">
      <c r="D696" s="3"/>
      <c r="F696" s="4"/>
      <c r="G696" s="4"/>
      <c r="H696" s="5"/>
    </row>
    <row r="697">
      <c r="D697" s="3"/>
      <c r="F697" s="4"/>
      <c r="G697" s="4"/>
      <c r="H697" s="5"/>
    </row>
    <row r="698">
      <c r="D698" s="3"/>
      <c r="F698" s="4"/>
      <c r="G698" s="4"/>
      <c r="H698" s="5"/>
    </row>
    <row r="699">
      <c r="D699" s="3"/>
      <c r="F699" s="4"/>
      <c r="G699" s="4"/>
      <c r="H699" s="5"/>
    </row>
    <row r="700">
      <c r="D700" s="3"/>
      <c r="F700" s="4"/>
      <c r="G700" s="4"/>
      <c r="H700" s="5"/>
    </row>
    <row r="701">
      <c r="D701" s="3"/>
      <c r="F701" s="4"/>
      <c r="G701" s="4"/>
      <c r="H701" s="5"/>
    </row>
  </sheetData>
  <customSheetViews>
    <customSheetView guid="{124CE5CA-2100-48FD-B906-3BC23A8F010B}" filter="1" showAutoFilter="1">
      <autoFilter ref="$B$5:$AK$12"/>
    </customSheetView>
  </customSheetViews>
  <mergeCells count="1">
    <mergeCell ref="C1:C2"/>
  </mergeCells>
  <conditionalFormatting sqref="H6 H8:H12 H14:H16 H18:H19 H21:H22 H24:H26 H29:H37 H40:H48 H51:H57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93" t="s">
        <v>77</v>
      </c>
      <c r="D4" s="94">
        <v>0.066</v>
      </c>
      <c r="E4" s="94">
        <v>0.067</v>
      </c>
      <c r="F4" s="94">
        <v>0.059</v>
      </c>
      <c r="G4" s="94">
        <v>0.073</v>
      </c>
      <c r="H4" s="94">
        <v>0.069</v>
      </c>
      <c r="I4" s="94">
        <v>0.072</v>
      </c>
      <c r="J4" s="94">
        <v>0.068</v>
      </c>
      <c r="K4" s="94">
        <v>0.069</v>
      </c>
      <c r="L4" s="94">
        <v>0.074</v>
      </c>
      <c r="M4" s="94">
        <v>0.074</v>
      </c>
      <c r="N4" s="95">
        <v>0.12</v>
      </c>
      <c r="O4" s="96">
        <v>0.085</v>
      </c>
    </row>
    <row r="5">
      <c r="C5" s="93" t="s">
        <v>78</v>
      </c>
      <c r="D5" s="94">
        <v>0.029</v>
      </c>
      <c r="E5" s="94">
        <v>0.029</v>
      </c>
      <c r="F5" s="94">
        <v>0.026</v>
      </c>
      <c r="G5" s="94">
        <v>0.033</v>
      </c>
      <c r="H5" s="94">
        <v>0.031</v>
      </c>
      <c r="I5" s="94">
        <v>0.033</v>
      </c>
      <c r="J5" s="94">
        <v>0.033</v>
      </c>
      <c r="K5" s="94">
        <v>0.034</v>
      </c>
      <c r="L5" s="94">
        <v>0.037</v>
      </c>
      <c r="M5" s="94">
        <v>0.037</v>
      </c>
      <c r="N5" s="95">
        <v>0.28</v>
      </c>
      <c r="O5" s="97">
        <f t="shared" ref="O5:O9" si="1">C23-O12</f>
        <v>0.044</v>
      </c>
    </row>
    <row r="6">
      <c r="C6" s="98" t="s">
        <v>79</v>
      </c>
      <c r="D6" s="96">
        <v>0.066</v>
      </c>
      <c r="E6" s="96">
        <v>0.062</v>
      </c>
      <c r="F6" s="96">
        <v>0.062</v>
      </c>
      <c r="G6" s="96">
        <v>0.07</v>
      </c>
      <c r="H6" s="96">
        <v>0.07</v>
      </c>
      <c r="I6" s="96">
        <v>0.068</v>
      </c>
      <c r="J6" s="96">
        <v>0.067</v>
      </c>
      <c r="K6" s="96">
        <v>0.065</v>
      </c>
      <c r="L6" s="96">
        <v>0.065</v>
      </c>
      <c r="M6" s="96">
        <v>0.067</v>
      </c>
      <c r="N6" s="99">
        <v>0.01</v>
      </c>
      <c r="O6" s="100">
        <f t="shared" si="1"/>
        <v>0.072</v>
      </c>
    </row>
    <row r="7">
      <c r="C7" s="98" t="s">
        <v>80</v>
      </c>
      <c r="D7" s="96">
        <v>0.074</v>
      </c>
      <c r="E7" s="96">
        <v>0.076</v>
      </c>
      <c r="F7" s="96">
        <v>0.08</v>
      </c>
      <c r="G7" s="96">
        <v>0.085</v>
      </c>
      <c r="H7" s="96">
        <v>0.08</v>
      </c>
      <c r="I7" s="96">
        <v>0.093</v>
      </c>
      <c r="J7" s="96">
        <v>0.091</v>
      </c>
      <c r="K7" s="96">
        <v>0.098</v>
      </c>
      <c r="L7" s="96">
        <v>0.109</v>
      </c>
      <c r="M7" s="96">
        <v>0.107</v>
      </c>
      <c r="N7" s="99">
        <v>0.45</v>
      </c>
      <c r="O7" s="100">
        <f t="shared" si="1"/>
        <v>0.112</v>
      </c>
    </row>
    <row r="8">
      <c r="C8" s="98" t="s">
        <v>81</v>
      </c>
      <c r="D8" s="96">
        <v>0.03</v>
      </c>
      <c r="E8" s="96">
        <v>0.029</v>
      </c>
      <c r="F8" s="96">
        <v>0.037</v>
      </c>
      <c r="G8" s="96">
        <v>0.035</v>
      </c>
      <c r="H8" s="96">
        <v>0.028</v>
      </c>
      <c r="I8" s="96">
        <v>0.027</v>
      </c>
      <c r="J8" s="96">
        <v>0.025</v>
      </c>
      <c r="K8" s="96">
        <v>0.024</v>
      </c>
      <c r="L8" s="96">
        <v>0.026</v>
      </c>
      <c r="M8" s="96">
        <v>0.027</v>
      </c>
      <c r="N8" s="99">
        <v>-0.1</v>
      </c>
      <c r="O8" s="100">
        <f t="shared" si="1"/>
        <v>0.034</v>
      </c>
    </row>
    <row r="9">
      <c r="C9" s="98" t="s">
        <v>82</v>
      </c>
      <c r="D9" s="96">
        <v>0.052</v>
      </c>
      <c r="E9" s="96">
        <v>0.055</v>
      </c>
      <c r="F9" s="96">
        <v>0.059</v>
      </c>
      <c r="G9" s="96">
        <v>0.051</v>
      </c>
      <c r="H9" s="96">
        <v>0.059</v>
      </c>
      <c r="I9" s="96">
        <v>0.063</v>
      </c>
      <c r="J9" s="96">
        <v>0.057</v>
      </c>
      <c r="K9" s="96">
        <v>0.064</v>
      </c>
      <c r="L9" s="96">
        <v>0.064</v>
      </c>
      <c r="M9" s="96">
        <v>0.062</v>
      </c>
      <c r="N9" s="99">
        <v>0.2</v>
      </c>
      <c r="O9" s="100">
        <f t="shared" si="1"/>
        <v>0.071</v>
      </c>
    </row>
    <row r="10">
      <c r="C10" s="98" t="s">
        <v>83</v>
      </c>
      <c r="D10" s="96">
        <v>0.032</v>
      </c>
      <c r="E10" s="96">
        <v>0.03</v>
      </c>
      <c r="F10" s="96">
        <v>0.029</v>
      </c>
      <c r="G10" s="96">
        <v>0.031</v>
      </c>
      <c r="H10" s="96">
        <v>0.028</v>
      </c>
      <c r="I10" s="96">
        <v>0.029</v>
      </c>
      <c r="J10" s="96">
        <v>0.033</v>
      </c>
      <c r="K10" s="96">
        <v>0.032</v>
      </c>
      <c r="L10" s="96">
        <v>0.033</v>
      </c>
      <c r="M10" s="96">
        <v>0.033</v>
      </c>
      <c r="N10" s="99">
        <v>0.04</v>
      </c>
      <c r="O10" s="101">
        <v>0.035</v>
      </c>
    </row>
    <row r="11">
      <c r="C11" s="98" t="s">
        <v>84</v>
      </c>
      <c r="D11" s="96">
        <v>0.03</v>
      </c>
      <c r="E11" s="96">
        <v>0.03</v>
      </c>
      <c r="F11" s="96">
        <v>0.029</v>
      </c>
      <c r="G11" s="96">
        <v>0.032</v>
      </c>
      <c r="H11" s="96">
        <v>0.029</v>
      </c>
      <c r="I11" s="96">
        <v>0.03</v>
      </c>
      <c r="J11" s="96">
        <v>0.029</v>
      </c>
      <c r="K11" s="96">
        <v>0.03</v>
      </c>
      <c r="L11" s="96">
        <v>0.033</v>
      </c>
      <c r="M11" s="96">
        <v>0.034</v>
      </c>
      <c r="N11" s="99">
        <v>0.15</v>
      </c>
      <c r="O11" s="100">
        <f>C35-O18</f>
        <v>0.039</v>
      </c>
    </row>
    <row r="12">
      <c r="C12" s="93" t="s">
        <v>85</v>
      </c>
      <c r="D12" s="94">
        <v>0.037</v>
      </c>
      <c r="E12" s="94">
        <v>0.038</v>
      </c>
      <c r="F12" s="94">
        <v>0.033</v>
      </c>
      <c r="G12" s="94">
        <v>0.041</v>
      </c>
      <c r="H12" s="94">
        <v>0.038</v>
      </c>
      <c r="I12" s="94">
        <v>0.039</v>
      </c>
      <c r="J12" s="94">
        <v>0.036</v>
      </c>
      <c r="K12" s="94">
        <v>0.035</v>
      </c>
      <c r="L12" s="94">
        <v>0.037</v>
      </c>
      <c r="M12" s="94">
        <v>0.037</v>
      </c>
      <c r="N12" s="95">
        <v>0.0</v>
      </c>
      <c r="O12" s="102">
        <f>4.1%</f>
        <v>0.041</v>
      </c>
    </row>
    <row r="13">
      <c r="C13" s="98" t="s">
        <v>79</v>
      </c>
      <c r="D13" s="96">
        <v>0.092</v>
      </c>
      <c r="E13" s="96">
        <v>0.11</v>
      </c>
      <c r="F13" s="96">
        <v>0.122</v>
      </c>
      <c r="G13" s="96">
        <v>0.132</v>
      </c>
      <c r="H13" s="96">
        <v>0.131</v>
      </c>
      <c r="I13" s="96">
        <v>0.145</v>
      </c>
      <c r="J13" s="96">
        <v>0.139</v>
      </c>
      <c r="K13" s="96">
        <v>0.145</v>
      </c>
      <c r="L13" s="96">
        <v>0.152</v>
      </c>
      <c r="M13" s="96">
        <v>0.149</v>
      </c>
      <c r="N13" s="99">
        <v>0.61</v>
      </c>
      <c r="O13" s="101">
        <v>0.25</v>
      </c>
    </row>
    <row r="14">
      <c r="C14" s="98" t="s">
        <v>80</v>
      </c>
      <c r="D14" s="96">
        <v>0.041</v>
      </c>
      <c r="E14" s="96">
        <v>0.046</v>
      </c>
      <c r="F14" s="96">
        <v>0.046</v>
      </c>
      <c r="G14" s="96">
        <v>0.043</v>
      </c>
      <c r="H14" s="96">
        <v>0.036</v>
      </c>
      <c r="I14" s="96">
        <v>0.036</v>
      </c>
      <c r="J14" s="96">
        <v>0.031</v>
      </c>
      <c r="K14" s="96">
        <v>0.029</v>
      </c>
      <c r="L14" s="96">
        <v>0.029</v>
      </c>
      <c r="M14" s="96">
        <v>0.029</v>
      </c>
      <c r="N14" s="99">
        <v>-0.29</v>
      </c>
      <c r="O14" s="101">
        <v>0.03</v>
      </c>
    </row>
    <row r="15">
      <c r="C15" s="98" t="s">
        <v>81</v>
      </c>
      <c r="D15" s="96">
        <v>0.086</v>
      </c>
      <c r="E15" s="96">
        <v>0.088</v>
      </c>
      <c r="F15" s="96">
        <v>0.096</v>
      </c>
      <c r="G15" s="96">
        <v>0.093</v>
      </c>
      <c r="H15" s="96">
        <v>0.091</v>
      </c>
      <c r="I15" s="96">
        <v>0.092</v>
      </c>
      <c r="J15" s="96">
        <v>0.08</v>
      </c>
      <c r="K15" s="96">
        <v>0.079</v>
      </c>
      <c r="L15" s="96">
        <v>0.093</v>
      </c>
      <c r="M15" s="96">
        <v>0.095</v>
      </c>
      <c r="N15" s="99">
        <v>0.11</v>
      </c>
      <c r="O15" s="101">
        <v>0.115</v>
      </c>
    </row>
    <row r="16">
      <c r="C16" s="98" t="s">
        <v>82</v>
      </c>
      <c r="D16" s="96">
        <v>0.036</v>
      </c>
      <c r="E16" s="96">
        <v>0.039</v>
      </c>
      <c r="F16" s="96">
        <v>0.036</v>
      </c>
      <c r="G16" s="96">
        <v>0.048</v>
      </c>
      <c r="H16" s="96">
        <v>0.035</v>
      </c>
      <c r="I16" s="96">
        <v>0.034</v>
      </c>
      <c r="J16" s="96">
        <v>0.035</v>
      </c>
      <c r="K16" s="96">
        <v>0.035</v>
      </c>
      <c r="L16" s="96">
        <v>0.036</v>
      </c>
      <c r="M16" s="96">
        <v>0.035</v>
      </c>
      <c r="N16" s="99">
        <v>-0.04</v>
      </c>
      <c r="O16" s="101">
        <v>0.04</v>
      </c>
    </row>
    <row r="17">
      <c r="C17" s="98" t="s">
        <v>83</v>
      </c>
      <c r="D17" s="96">
        <v>0.056</v>
      </c>
      <c r="E17" s="96">
        <v>0.051</v>
      </c>
      <c r="F17" s="96">
        <v>0.049</v>
      </c>
      <c r="G17" s="96">
        <v>0.052</v>
      </c>
      <c r="H17" s="96">
        <v>0.051</v>
      </c>
      <c r="I17" s="96">
        <v>0.051</v>
      </c>
      <c r="J17" s="96">
        <v>0.049</v>
      </c>
      <c r="K17" s="96">
        <v>0.047</v>
      </c>
      <c r="L17" s="96">
        <v>0.049</v>
      </c>
      <c r="M17" s="96">
        <v>0.048</v>
      </c>
      <c r="N17" s="99">
        <v>-0.14</v>
      </c>
      <c r="O17" s="100">
        <f>C28-O10</f>
        <v>0.053</v>
      </c>
    </row>
    <row r="18">
      <c r="C18" s="98" t="s">
        <v>84</v>
      </c>
      <c r="D18" s="96">
        <v>0.038</v>
      </c>
      <c r="E18" s="96">
        <v>0.039</v>
      </c>
      <c r="F18" s="96">
        <v>0.037</v>
      </c>
      <c r="G18" s="96">
        <v>0.042</v>
      </c>
      <c r="H18" s="96">
        <v>0.038</v>
      </c>
      <c r="I18" s="96">
        <v>0.039</v>
      </c>
      <c r="J18" s="96">
        <v>0.035</v>
      </c>
      <c r="K18" s="96">
        <v>0.035</v>
      </c>
      <c r="L18" s="96">
        <v>0.037</v>
      </c>
      <c r="M18" s="96">
        <v>0.038</v>
      </c>
      <c r="N18" s="99">
        <v>0.0</v>
      </c>
      <c r="O18" s="101">
        <v>0.04</v>
      </c>
    </row>
    <row r="23">
      <c r="B23" s="93" t="s">
        <v>86</v>
      </c>
      <c r="C23" s="103">
        <v>0.085</v>
      </c>
    </row>
    <row r="24">
      <c r="B24" s="98" t="s">
        <v>79</v>
      </c>
      <c r="C24" s="104">
        <v>0.322</v>
      </c>
    </row>
    <row r="25">
      <c r="B25" s="105" t="s">
        <v>80</v>
      </c>
      <c r="C25" s="104">
        <v>0.142</v>
      </c>
    </row>
    <row r="26">
      <c r="B26" s="105" t="s">
        <v>81</v>
      </c>
      <c r="C26" s="106">
        <v>0.149</v>
      </c>
    </row>
    <row r="27">
      <c r="B27" s="105" t="s">
        <v>82</v>
      </c>
      <c r="C27" s="106">
        <v>0.111</v>
      </c>
    </row>
    <row r="28">
      <c r="B28" s="98" t="s">
        <v>83</v>
      </c>
      <c r="C28" s="106">
        <v>0.088</v>
      </c>
    </row>
    <row r="29">
      <c r="B29" s="98" t="s">
        <v>87</v>
      </c>
      <c r="C29" s="106">
        <v>0.036</v>
      </c>
    </row>
    <row r="30">
      <c r="B30" s="98" t="s">
        <v>88</v>
      </c>
      <c r="C30" s="96">
        <v>0.024</v>
      </c>
    </row>
    <row r="31">
      <c r="B31" s="105" t="s">
        <v>89</v>
      </c>
      <c r="C31" s="106">
        <v>0.011</v>
      </c>
    </row>
    <row r="32">
      <c r="B32" s="105" t="s">
        <v>90</v>
      </c>
      <c r="C32" s="106">
        <v>0.012</v>
      </c>
    </row>
    <row r="33">
      <c r="B33" s="98" t="s">
        <v>91</v>
      </c>
      <c r="C33" s="96">
        <v>0.002</v>
      </c>
    </row>
    <row r="34">
      <c r="B34" s="98" t="s">
        <v>92</v>
      </c>
      <c r="C34" s="96">
        <v>0.001</v>
      </c>
    </row>
    <row r="35">
      <c r="B35" s="98" t="s">
        <v>84</v>
      </c>
      <c r="C35" s="106">
        <v>0.079</v>
      </c>
    </row>
  </sheetData>
  <drawing r:id="rId1"/>
</worksheet>
</file>